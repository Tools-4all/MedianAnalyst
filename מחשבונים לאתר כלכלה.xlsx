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ofek.biran/Downloads/"/>
    </mc:Choice>
  </mc:AlternateContent>
  <xr:revisionPtr revIDLastSave="0" documentId="13_ncr:1_{14E44B93-229E-0A4E-8C17-368F5022F438}" xr6:coauthVersionLast="47" xr6:coauthVersionMax="47" xr10:uidLastSave="{00000000-0000-0000-0000-000000000000}"/>
  <bookViews>
    <workbookView xWindow="30240" yWindow="-1960" windowWidth="38400" windowHeight="21600" activeTab="1" xr2:uid="{D72029C8-5AE1-9F46-A733-C8CFB50CEC3C}"/>
  </bookViews>
  <sheets>
    <sheet name="מקרא" sheetId="2" r:id="rId1"/>
    <sheet name="Bank value calculation" sheetId="9" r:id="rId2"/>
    <sheet name="Market value of tradable shares" sheetId="8" r:id="rId3"/>
    <sheet name="Machete" sheetId="5" r:id="rId4"/>
    <sheet name="The base model" sheetId="7" r:id="rId5"/>
    <sheet name="Marketable financial assets rel" sheetId="6" r:id="rId6"/>
    <sheet name="Calculating inflation" sheetId="4" r:id="rId7"/>
    <sheet name="Quick risk return" sheetId="3" r:id="rId8"/>
    <sheet name="Long-term investor return" sheetId="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8" i="9" l="1"/>
  <c r="D43" i="9"/>
  <c r="D44" i="9"/>
  <c r="D21" i="9"/>
  <c r="D24" i="9" s="1"/>
  <c r="D14" i="9"/>
  <c r="D26" i="9" s="1"/>
  <c r="D36" i="9"/>
  <c r="D38" i="9" s="1"/>
  <c r="D44" i="8"/>
  <c r="D41" i="8"/>
  <c r="D40" i="8"/>
  <c r="D38" i="8"/>
  <c r="D37" i="8"/>
  <c r="D30" i="8"/>
  <c r="D27" i="8"/>
  <c r="D24" i="8"/>
  <c r="D21" i="8"/>
  <c r="D10" i="8"/>
  <c r="D13" i="8" s="1"/>
  <c r="D37" i="1"/>
  <c r="D66" i="7"/>
  <c r="D57" i="7"/>
  <c r="D49" i="7"/>
  <c r="D47" i="7"/>
  <c r="D44" i="7"/>
  <c r="D35" i="7"/>
  <c r="D55" i="7" s="1"/>
  <c r="D58" i="7" s="1"/>
  <c r="D65" i="7" s="1"/>
  <c r="D34" i="7"/>
  <c r="D26" i="7"/>
  <c r="D25" i="7"/>
  <c r="D21" i="7"/>
  <c r="D23" i="7"/>
  <c r="D16" i="7"/>
  <c r="D13" i="7"/>
  <c r="D12" i="6"/>
  <c r="D17" i="6" s="1"/>
  <c r="D18" i="6" s="1"/>
  <c r="D21" i="6" s="1"/>
  <c r="D36" i="5"/>
  <c r="D35" i="5"/>
  <c r="D32" i="5"/>
  <c r="D8" i="5"/>
  <c r="D11" i="5" s="1"/>
  <c r="D16" i="5" s="1"/>
  <c r="D35" i="4"/>
  <c r="D32" i="4"/>
  <c r="D29" i="4"/>
  <c r="D14" i="4"/>
  <c r="D17" i="4" s="1"/>
  <c r="D17" i="1"/>
  <c r="D51" i="3"/>
  <c r="D48" i="3" s="1"/>
  <c r="D18" i="3"/>
  <c r="D12" i="3"/>
  <c r="D15" i="3"/>
  <c r="D27" i="9" l="1"/>
  <c r="D13" i="5"/>
  <c r="D18" i="5" s="1"/>
  <c r="D19" i="5" s="1"/>
  <c r="D21" i="5" s="1"/>
  <c r="D54" i="3"/>
  <c r="D25" i="3"/>
  <c r="D27" i="3" s="1"/>
  <c r="D31" i="3" s="1"/>
  <c r="D22" i="3"/>
  <c r="D29" i="3" s="1"/>
  <c r="D30" i="9" l="1"/>
  <c r="D29" i="5"/>
  <c r="D28" i="5" s="1"/>
  <c r="D32" i="3"/>
  <c r="D37" i="3" s="1"/>
  <c r="D38" i="3" s="1"/>
  <c r="D41" i="9" l="1"/>
  <c r="D46" i="9"/>
  <c r="D49" i="9" s="1"/>
  <c r="D9" i="1"/>
  <c r="D12" i="1"/>
  <c r="D18" i="1"/>
  <c r="D23" i="1" s="1"/>
  <c r="D43" i="1" s="1"/>
  <c r="D46" i="1" s="1"/>
  <c r="D63" i="1"/>
  <c r="D57" i="1"/>
  <c r="D34" i="1"/>
  <c r="D40" i="1" s="1"/>
  <c r="D45" i="1" s="1"/>
  <c r="D50" i="1" l="1"/>
  <c r="D51" i="1" s="1"/>
</calcChain>
</file>

<file path=xl/sharedStrings.xml><?xml version="1.0" encoding="utf-8"?>
<sst xmlns="http://schemas.openxmlformats.org/spreadsheetml/2006/main" count="523" uniqueCount="235">
  <si>
    <t>First Step</t>
  </si>
  <si>
    <t>Input</t>
  </si>
  <si>
    <t>Constant</t>
  </si>
  <si>
    <t>Calculation Result</t>
  </si>
  <si>
    <t>Explanation</t>
  </si>
  <si>
    <t>Parameter</t>
  </si>
  <si>
    <t>Example</t>
  </si>
  <si>
    <t>Real Growth (RG)</t>
  </si>
  <si>
    <t>Long-term Fed latest estimate FOMAC</t>
  </si>
  <si>
    <t>Parameter to change Explanation</t>
  </si>
  <si>
    <t>X</t>
  </si>
  <si>
    <t>(The Calculation operation)</t>
  </si>
  <si>
    <t>Inflation</t>
  </si>
  <si>
    <t>Parameter We need to change</t>
  </si>
  <si>
    <t>PEC Index in  Percentage. Simple average of the last 40 quarters, i.e. 10 years .</t>
  </si>
  <si>
    <t>Nominal growth</t>
  </si>
  <si>
    <t>Fixed financial coefficient</t>
  </si>
  <si>
    <t>The Calculation operation</t>
  </si>
  <si>
    <t>Annual return to the investor before the risk component</t>
  </si>
  <si>
    <t>Risk factor for the investor</t>
  </si>
  <si>
    <t>:</t>
  </si>
  <si>
    <t>Annual percentage return for a long-term investor after the risk component</t>
  </si>
  <si>
    <t>(Intrenal middile calculation)</t>
  </si>
  <si>
    <t>To create a coefficient in percentages</t>
  </si>
  <si>
    <t>+</t>
  </si>
  <si>
    <t>The yield coefficient for calculating the time factor</t>
  </si>
  <si>
    <t>End of First step</t>
  </si>
  <si>
    <t>Second Step- Calculating the time factor and anchor</t>
  </si>
  <si>
    <t>The anchor year</t>
  </si>
  <si>
    <t>The index's historic low</t>
  </si>
  <si>
    <t>Current Year</t>
  </si>
  <si>
    <t>-</t>
  </si>
  <si>
    <t>The number of years since 1932</t>
  </si>
  <si>
    <t>Represents the year of infinite continuity</t>
  </si>
  <si>
    <t>The time factor for calculation</t>
  </si>
  <si>
    <t>^</t>
  </si>
  <si>
    <t>Cumulative return after risk in terms of time</t>
  </si>
  <si>
    <t xml:space="preserve">DJIA Value in 1932 </t>
  </si>
  <si>
    <t xml:space="preserve">DJIA  Target rate in 2026 </t>
  </si>
  <si>
    <t>The inflation bias is +0.1 or -0.1</t>
  </si>
  <si>
    <t>Inflation bias upper limit</t>
  </si>
  <si>
    <t>Inflation bias lower limit</t>
  </si>
  <si>
    <t>Meaning</t>
  </si>
  <si>
    <t xml:space="preserve">Final Explanation </t>
  </si>
  <si>
    <t>Third Step- Inflation bias finding the range</t>
  </si>
  <si>
    <t>I will give a detailed explanation on a separate page. I use a bias of +0.1 or -0.1 because inflation is the least convenient component to measure.</t>
  </si>
  <si>
    <t>Parameter to change in Explanation</t>
  </si>
  <si>
    <t xml:space="preserve">Because log normal is on the horizontal X </t>
  </si>
  <si>
    <t>General explanation The idea in the model that the stock index is eternal is nominal, it includes the return and the risk, and it is based on a historical starting point, and these are cumulative factors. The uncertain factor is inflation, and therefore I record the biases to examine the limits of the index, relative to a particular year.</t>
  </si>
  <si>
    <t>להזנת המשתמש ולעדכון שלנו</t>
  </si>
  <si>
    <t>להזנת המשתמש</t>
  </si>
  <si>
    <t>Our inputs</t>
  </si>
  <si>
    <t>Date + Inflation</t>
  </si>
  <si>
    <t xml:space="preserve">Date  + Real Growth (RG) </t>
  </si>
  <si>
    <t>Disclaimer: Information provided is for educational and perspective purposes only and does
not constitute financial advice. Past performance of the DJIA or any other asset is not
indicative of future results.</t>
  </si>
  <si>
    <t>c All rights reserved.</t>
  </si>
  <si>
    <t>Explanations</t>
  </si>
  <si>
    <t>The public debt</t>
  </si>
  <si>
    <t>The model is based on two elements 
1. The interest rate calculated here is the basis for calculating risk and return together
2. In this model, the ranges are determined by inflation. Inflation is calculated according to the Fed's Prime Rate  (see inflation calculator)</t>
  </si>
  <si>
    <t>To calculate the debt ratio</t>
  </si>
  <si>
    <t>x</t>
  </si>
  <si>
    <t>debt ratio</t>
  </si>
  <si>
    <t>Inflation derived from the prime</t>
  </si>
  <si>
    <t>Interest rate, the basis for calculating risk and return</t>
  </si>
  <si>
    <t>The Complete 100</t>
  </si>
  <si>
    <t>To calculate the interest rate return</t>
  </si>
  <si>
    <t>Borto's risk-free return calculated from the interest rate</t>
  </si>
  <si>
    <t>The squared interest rate is the risk</t>
  </si>
  <si>
    <t>This is the expected movement in calculating the gross return relative to risk.</t>
  </si>
  <si>
    <t xml:space="preserve">DJIA  beginning of a year </t>
  </si>
  <si>
    <t>According to 2026</t>
  </si>
  <si>
    <t>Calculated index target</t>
  </si>
  <si>
    <t>Second Step - The inflation bias calculated from the prime for determining the ranges</t>
  </si>
  <si>
    <t xml:space="preserve">The inflation bias is +0.1 or -0.1 </t>
  </si>
  <si>
    <t>Inflation measured from the prime</t>
  </si>
  <si>
    <t>Currnet Inflation (Prime minus Fed funds minus a fixed risk premium of 1.5%, gave an extended explanation in the inflation calculator)</t>
  </si>
  <si>
    <t>Fixed bias of inflation derived from the prime, Upper limit</t>
  </si>
  <si>
    <t>Fixed bias of inflation derived from the prime, Lower limit</t>
  </si>
  <si>
    <t xml:space="preserve">Should be updated according to the Inflation </t>
  </si>
  <si>
    <t>In the United States, there are three types of inflation and a fourth that is a weighting of the previous three.</t>
  </si>
  <si>
    <t>1. The first inflation is the Consumer Price Index (CPI) and is not relevant to the capital market.</t>
  </si>
  <si>
    <t>2.The second inflation is Personal Consumption Expenditures (PCE) Excluding Food and Energy (Chain-Type Price Index)
and it is used to measure the real economy, it is quarterly inflation in percentage terms and I measure it as an average of four current quarters.</t>
  </si>
  <si>
    <t>And it serves as an inflationary basis for calculating models based on the real economy such as growth, the amount of moeny M1, quantitative easing QE or M0. For example, for the period of March 2026, the average PCE for the last 4 quarters is 2.9</t>
  </si>
  <si>
    <t>3.The third inflation is financial inflation and is calculated from the prime interest rate. It is called the Prime rate.This is the formula for calculating financial inflation derived from the Prime rate.</t>
  </si>
  <si>
    <t>Prime Rate</t>
  </si>
  <si>
    <t xml:space="preserve">current </t>
  </si>
  <si>
    <t>Fed Funds Rate</t>
  </si>
  <si>
    <t>Fixed risk premium</t>
  </si>
  <si>
    <t>which is used to calculate inflation in models based on risk-adjusted returns, is calculated without measuring the real economy.</t>
  </si>
  <si>
    <t>Financial inflation</t>
  </si>
  <si>
    <t>Explanation of the calculation bias</t>
  </si>
  <si>
    <t xml:space="preserve">Measuring Inflation: A Guide to the Issues" by John Williams, a senior economist at the Fed (Federal Bank of St. Louis).
In this paper, he discusses biases in measuring inflation, including standard deviations ranging from 0.15% to 0.4%, and explains how measurement methods and price valuation affect the results.  </t>
  </si>
  <si>
    <t>https://www.stlouisfed.org/publications/regional-economist/issue/2010-07-01/measuring-inflation</t>
  </si>
  <si>
    <t>It is accepted that the inflation bias is in the range of 0.15 to 0.4 percent.</t>
  </si>
  <si>
    <t>I calculate according to the following key:</t>
  </si>
  <si>
    <t>(לבדוק על לכתוב אותה משמאל לימין במקום מלמעלה למטה)</t>
  </si>
  <si>
    <t>Biases known from research</t>
  </si>
  <si>
    <t>My calculation is that sometimes there is no bias at all and therefore 0.0</t>
  </si>
  <si>
    <t>total bias</t>
  </si>
  <si>
    <t>The three elements of bias</t>
  </si>
  <si>
    <t>Average bias</t>
  </si>
  <si>
    <t>The probability that the bias will be up or down is 0.5</t>
  </si>
  <si>
    <t xml:space="preserve"> This is the bias I use for financial inflation (circled to 0.1)</t>
  </si>
  <si>
    <t>I will raise the fourth inflation, which is the weighting of all inflations, later.</t>
  </si>
  <si>
    <t>Financial inflation is used to calculate interest rates on foreign currency government bonds and computational models that do not measure the real economy.</t>
  </si>
  <si>
    <t>2.5 is the coefficient of real government activity</t>
  </si>
  <si>
    <t xml:space="preserve">Interest rate, the basis for calculating risk and return </t>
  </si>
  <si>
    <t>This is the risk-indifferent interest rate.</t>
  </si>
  <si>
    <t>This is the risk interest rate equivalent to volatility - standard deviation</t>
  </si>
  <si>
    <t>Machete - Calculation of macroeconomic risk potential. Similar to standard deviation - volatility. Serves as an initial basis for calculating risk assets such as government bonds and foreign currency.</t>
  </si>
  <si>
    <t>Paramter to update</t>
  </si>
  <si>
    <t>Risk-indifferent interest rate</t>
  </si>
  <si>
    <t>The risk interest rate is the mathematical expression of the log-normal</t>
  </si>
  <si>
    <t>^3</t>
  </si>
  <si>
    <t>The log skew, the mathematical expression of the skew</t>
  </si>
  <si>
    <t>The range of risk</t>
  </si>
  <si>
    <t>Sqrt</t>
  </si>
  <si>
    <t>Machete - the potential risk inherent in debt and inflation</t>
  </si>
  <si>
    <t>Risk potential is the fluctuation limit of an index, currency, or bond.</t>
  </si>
  <si>
    <t>For example-</t>
  </si>
  <si>
    <t>The market price of a theoretical asset</t>
  </si>
  <si>
    <t>(no need to update)</t>
  </si>
  <si>
    <t>The upper end of the range</t>
  </si>
  <si>
    <t>The lower end of the range</t>
  </si>
  <si>
    <t>downward movement</t>
  </si>
  <si>
    <t>upward movement</t>
  </si>
  <si>
    <t>The machete is also used for rapid risk assessment of stock indices</t>
  </si>
  <si>
    <t>The equilibrium between tradable financial assets and GDP is 2.71. Every dollar in the economy generates 2.71 dollars in the capital market.</t>
  </si>
  <si>
    <t>Total marketable financial assets</t>
  </si>
  <si>
    <t xml:space="preserve"> to update</t>
  </si>
  <si>
    <t>Link to the site</t>
  </si>
  <si>
    <t>Current GDP in dollars</t>
  </si>
  <si>
    <t>Quarterly data</t>
  </si>
  <si>
    <t>These data are based on Federal Reserve Report Z.1, Table L.101 (Households and Nonprofit Institutions).Calculating tradable financial assets is complicated and tedious, so it is possible to use secondary sources such as AI and publications from various institutions. Quarterly data</t>
  </si>
  <si>
    <t>The current ratio of financial assets to GDP</t>
  </si>
  <si>
    <t xml:space="preserve">The natural number e </t>
  </si>
  <si>
    <t>a constant coefficient of equilibrium.</t>
  </si>
  <si>
    <t>The ratio between actual assets and equilibrium assets</t>
  </si>
  <si>
    <t>This is the DJIA moving average rate for the previous quarter.</t>
  </si>
  <si>
    <t>because this is a financial model that uses a moving average.</t>
  </si>
  <si>
    <t>The economic rate of the DJIA index according to the equilibrium ratio</t>
  </si>
  <si>
    <t>You can enter the rate found here in the machete calculator under the parameter of "The market price of a theoretical asset" to find the range. Note the use of financial inflation</t>
  </si>
  <si>
    <t>If the risk coefficient is 1.0977. (calculated based on debt to GDP 122.49 and financial inflation 1.61) the upper range came out 48131.95 and the lower range came out 39945.24</t>
  </si>
  <si>
    <r>
      <t xml:space="preserve">All numbers in this calculator are in terms of </t>
    </r>
    <r>
      <rPr>
        <b/>
        <sz val="12"/>
        <color theme="1"/>
        <rFont val="Aptos Narrow"/>
        <scheme val="minor"/>
      </rPr>
      <t>billions of dollars.</t>
    </r>
  </si>
  <si>
    <t>Step 1 - Yield Factor</t>
  </si>
  <si>
    <t>The numbers are in the thousands of billions</t>
  </si>
  <si>
    <t>to update</t>
  </si>
  <si>
    <t>Total cash</t>
  </si>
  <si>
    <t xml:space="preserve">Current GDP in dollars </t>
  </si>
  <si>
    <t>לשים לב שהכפלנו ב100</t>
  </si>
  <si>
    <t>This model is the most comprehensive and the first one developed by me. Its principles:
1. Return - includes real growth, the amount of money, GDP, personal saving.
2. Risk - public debt, and inflation</t>
  </si>
  <si>
    <t>Personal savings</t>
  </si>
  <si>
    <t>The percentage of savings relative to current GDP</t>
  </si>
  <si>
    <t>Percentage of cash in relation to current GDP</t>
  </si>
  <si>
    <t>The yield coefficient or yield lever</t>
  </si>
  <si>
    <t>Step 2 - Gross return</t>
  </si>
  <si>
    <t>The Fed's median annual growth estimate - FOMC (in percentage)</t>
  </si>
  <si>
    <t>This is the gross return before risk.</t>
  </si>
  <si>
    <t>Step 3- Calculating the risk</t>
  </si>
  <si>
    <t>Fed Debt- Total public Debt</t>
  </si>
  <si>
    <t>The government's economic activity leverage</t>
  </si>
  <si>
    <t>חיקלנו ב100</t>
  </si>
  <si>
    <t>Debt ratio</t>
  </si>
  <si>
    <t>Personal Consumption Expenditures (PCE) Excluding Food and Energy (Chain-Type Price Index) Quarterly, in percentages measured by annual moving average</t>
  </si>
  <si>
    <t>The risk-indifferent interest rate of real activity</t>
  </si>
  <si>
    <t>This is the risk interest rate</t>
  </si>
  <si>
    <t>Step 4- Calculate the movement</t>
  </si>
  <si>
    <t>The ratio between the gross return and the risk interest rate</t>
  </si>
  <si>
    <t>Step 5 - Matching to DJIA</t>
  </si>
  <si>
    <t>DJIA at the beginning of the year</t>
  </si>
  <si>
    <t>Equilibrium - chance and risk according to the index</t>
  </si>
  <si>
    <t>Link</t>
  </si>
  <si>
    <t>M0 (Quantitative expansion)- Credit and Liquidity Programs and the Balance Sheet</t>
  </si>
  <si>
    <t>M1 (Amount of money) -M1SL</t>
  </si>
  <si>
    <t xml:space="preserve">In percentages, current data by quarter, data from the Fed </t>
  </si>
  <si>
    <t>Market value of tradable shares relative to GDP</t>
  </si>
  <si>
    <t>Link to Corporate Equities</t>
  </si>
  <si>
    <t>Link to L.101- Row 15</t>
  </si>
  <si>
    <t>Corporate equities</t>
  </si>
  <si>
    <t>In thousands of billions</t>
  </si>
  <si>
    <t>Current GDP in the last quarter</t>
  </si>
  <si>
    <t>The ratio between marketable capital and GDP: is essentially the daily standard deviation</t>
  </si>
  <si>
    <t>The time root of 250 trading days</t>
  </si>
  <si>
    <t>The annual risk corresponding to volatility or standard deviation</t>
  </si>
  <si>
    <t>Step 2- Calculating the odds</t>
  </si>
  <si>
    <t>Step 1- Calculate the risk</t>
  </si>
  <si>
    <t>הכותרת</t>
  </si>
  <si>
    <t>חילקנו ב100</t>
  </si>
  <si>
    <t>In capital market courses, the idea called the "Buffet indicator" is taught, which measures the ratio between the value of tradable shares and GDP without explanation or continuation.
I developed it in several layers and this is how I calculate. (I rarely use this calculation because it relies on market value rather than macro data)</t>
  </si>
  <si>
    <t>The federal budget deficit</t>
  </si>
  <si>
    <t>Total marketable debt</t>
  </si>
  <si>
    <t>הכפלנו במאה</t>
  </si>
  <si>
    <t>Marketable debt-to-GDP ratio</t>
  </si>
  <si>
    <t>Government Activity Coefficient</t>
  </si>
  <si>
    <t>Marketable debt ratio</t>
  </si>
  <si>
    <t xml:space="preserve">Inflation derived from the prime </t>
  </si>
  <si>
    <t>see the "Inflation" calculator</t>
  </si>
  <si>
    <t>The alternative interest rate</t>
  </si>
  <si>
    <t>Step 3-  Calculating the odds ratio</t>
  </si>
  <si>
    <t>100 percent</t>
  </si>
  <si>
    <t>The expected return from the alternative interest rate</t>
  </si>
  <si>
    <t>The expected movement</t>
  </si>
  <si>
    <t>Moving average of the DJIA index over the last three months</t>
  </si>
  <si>
    <t>The balance rate</t>
  </si>
  <si>
    <t xml:space="preserve"> between the opportunity from the alternative interest rate and the risk from the value of shares relative to GDP</t>
  </si>
  <si>
    <t>Bank value calculation</t>
  </si>
  <si>
    <t>כותרת</t>
  </si>
  <si>
    <t>Banks are measured by the ratio of market value to equity, which includes dividend payout.</t>
  </si>
  <si>
    <t>100 percent is the previous year's end of the bank's equity value</t>
  </si>
  <si>
    <t>This is the average percentage of the dividend in relation to the bank's equity</t>
  </si>
  <si>
    <t>הכלפנו ב1.04 פשוט</t>
  </si>
  <si>
    <t>Equity includes the dividend return for the beginning of the current year.</t>
  </si>
  <si>
    <t>Long-term real growth Fed estimate (FOMC)</t>
  </si>
  <si>
    <t>Average quarterly PCE index for the last four quarters</t>
  </si>
  <si>
    <t>The financial multiplier</t>
  </si>
  <si>
    <t>Every dollar of growth generates 2.71 financial assets</t>
  </si>
  <si>
    <t>The asset value as a result of nominal growth and the financial multiplier</t>
  </si>
  <si>
    <t>את המקדם הזה חילקנו ב100 פלוס 1</t>
  </si>
  <si>
    <t>Economic value at the end of the year</t>
  </si>
  <si>
    <t>(14.93\100)+1</t>
  </si>
  <si>
    <t>Step A- Dividend return</t>
  </si>
  <si>
    <t>Step B - Calculating the value derived from the economic activity</t>
  </si>
  <si>
    <t>Step C - Calculating volatility according to Machete</t>
  </si>
  <si>
    <t>The interest derived from the debt to GDP ratio is 122.49 and inflation derived from the prime- 1.61</t>
  </si>
  <si>
    <t>^3-^2</t>
  </si>
  <si>
    <t>It is the movement that is the potential risk</t>
  </si>
  <si>
    <t>Step D- Range measurement</t>
  </si>
  <si>
    <t>For further calculations, please refer to the "Machete" calculator. I will show a short example here.</t>
  </si>
  <si>
    <t>The lower range of market value to equity ratio</t>
  </si>
  <si>
    <t>The upper range of market value to equity ratio</t>
  </si>
  <si>
    <t xml:space="preserve">Market Value of Marketable Treasury Debt </t>
  </si>
  <si>
    <t>Indicates future bond issuance. This parameter can be taken from the Federal Budget Office or the Fed websites.</t>
  </si>
  <si>
    <t>Market value to economic equity ratio</t>
  </si>
  <si>
    <t xml:space="preserve">The lower range coefficient of the the movement that is the potential risk </t>
  </si>
  <si>
    <t xml:space="preserve">The upper range coefficient  movement that is the potential risk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</si>
</sst>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
    <numFmt numFmtId="166" formatCode="0.0000000000000"/>
    <numFmt numFmtId="167" formatCode="0.0"/>
  </numFmts>
  <fonts count="6" x14ac:knownFonts="1">
    <font>
      <sz val="12"/>
      <color theme="1"/>
      <name val="Aptos Narrow"/>
      <family val="2"/>
      <scheme val="minor"/>
    </font>
    <font>
      <sz val="12"/>
      <color theme="1"/>
      <name val="Aptos Narrow"/>
      <scheme val="minor"/>
    </font>
    <font>
      <sz val="12"/>
      <color rgb="FFFF0000"/>
      <name val="Aptos Narrow"/>
      <family val="2"/>
      <scheme val="minor"/>
    </font>
    <font>
      <sz val="12"/>
      <color rgb="FFFF0000"/>
      <name val="Aptos Narrow (Body)"/>
    </font>
    <font>
      <u/>
      <sz val="12"/>
      <color theme="10"/>
      <name val="Aptos Narrow"/>
      <family val="2"/>
      <scheme val="minor"/>
    </font>
    <font>
      <b/>
      <sz val="12"/>
      <color theme="1"/>
      <name val="Aptos Narrow"/>
      <scheme val="minor"/>
    </font>
  </fonts>
  <fills count="11">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rgb="FFC9BFFF"/>
        <bgColor indexed="64"/>
      </patternFill>
    </fill>
    <fill>
      <patternFill patternType="solid">
        <fgColor rgb="FFF9C1AF"/>
        <bgColor indexed="64"/>
      </patternFill>
    </fill>
    <fill>
      <patternFill patternType="solid">
        <fgColor theme="7"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wrapText="1"/>
    </xf>
    <xf numFmtId="0" fontId="0" fillId="0" borderId="0" xfId="0" applyAlignment="1">
      <alignment horizontal="center" wrapText="1"/>
    </xf>
    <xf numFmtId="0" fontId="0" fillId="6" borderId="0" xfId="0" applyFill="1"/>
    <xf numFmtId="0" fontId="0" fillId="6"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7" borderId="0" xfId="0" applyFill="1" applyAlignment="1">
      <alignment wrapText="1"/>
    </xf>
    <xf numFmtId="0" fontId="0" fillId="8" borderId="0" xfId="0" applyFill="1" applyAlignment="1">
      <alignment wrapText="1"/>
    </xf>
    <xf numFmtId="0" fontId="1" fillId="0" borderId="0" xfId="0" applyFont="1" applyAlignment="1">
      <alignment wrapText="1"/>
    </xf>
    <xf numFmtId="0" fontId="0" fillId="2" borderId="0" xfId="0" applyFill="1" applyAlignment="1">
      <alignment wrapText="1"/>
    </xf>
    <xf numFmtId="0" fontId="0" fillId="9" borderId="0" xfId="0" applyFill="1" applyAlignment="1">
      <alignment wrapText="1"/>
    </xf>
    <xf numFmtId="0" fontId="0" fillId="9" borderId="0" xfId="0" applyFill="1"/>
    <xf numFmtId="10" fontId="0" fillId="0" borderId="0" xfId="0" applyNumberFormat="1" applyAlignment="1">
      <alignment wrapText="1"/>
    </xf>
    <xf numFmtId="2" fontId="0" fillId="0" borderId="0" xfId="0" applyNumberFormat="1" applyAlignment="1">
      <alignment wrapText="1"/>
    </xf>
    <xf numFmtId="164" fontId="0" fillId="0" borderId="0" xfId="0" applyNumberFormat="1" applyAlignment="1">
      <alignment wrapText="1"/>
    </xf>
    <xf numFmtId="165" fontId="0" fillId="0" borderId="0" xfId="0" applyNumberFormat="1" applyAlignment="1">
      <alignment wrapText="1"/>
    </xf>
    <xf numFmtId="164" fontId="0" fillId="0" borderId="0" xfId="0" applyNumberFormat="1"/>
    <xf numFmtId="166" fontId="0" fillId="0" borderId="0" xfId="0" applyNumberFormat="1"/>
    <xf numFmtId="165" fontId="0" fillId="0" borderId="0" xfId="0" applyNumberFormat="1"/>
    <xf numFmtId="0" fontId="0" fillId="10" borderId="0" xfId="0" applyFill="1" applyAlignment="1">
      <alignment wrapText="1"/>
    </xf>
    <xf numFmtId="0" fontId="3" fillId="8" borderId="0" xfId="0" applyFont="1" applyFill="1" applyAlignment="1">
      <alignment wrapText="1"/>
    </xf>
    <xf numFmtId="0" fontId="2" fillId="8" borderId="0" xfId="0" applyFont="1" applyFill="1" applyAlignment="1">
      <alignment wrapText="1"/>
    </xf>
    <xf numFmtId="0" fontId="0" fillId="9" borderId="0" xfId="0" applyFill="1" applyAlignment="1">
      <alignment horizontal="center" wrapText="1"/>
    </xf>
    <xf numFmtId="0" fontId="0" fillId="9" borderId="0" xfId="0" applyFill="1" applyAlignment="1">
      <alignment horizontal="center"/>
    </xf>
    <xf numFmtId="167" fontId="0" fillId="0" borderId="0" xfId="0" applyNumberFormat="1"/>
    <xf numFmtId="2" fontId="0" fillId="0" borderId="0" xfId="0" applyNumberFormat="1"/>
    <xf numFmtId="0" fontId="4" fillId="0" borderId="0" xfId="1" applyAlignment="1">
      <alignment wrapText="1"/>
    </xf>
    <xf numFmtId="0" fontId="0" fillId="10" borderId="0" xfId="0" applyFill="1"/>
    <xf numFmtId="0" fontId="5" fillId="0" borderId="0" xfId="0" applyFont="1"/>
    <xf numFmtId="0" fontId="4" fillId="0" borderId="0" xfId="1"/>
    <xf numFmtId="3" fontId="0" fillId="0" borderId="0" xfId="0" applyNumberFormat="1"/>
    <xf numFmtId="9" fontId="0" fillId="0" borderId="0" xfId="0" applyNumberFormat="1"/>
    <xf numFmtId="0" fontId="0" fillId="0"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colors>
    <mruColors>
      <color rgb="FFFF89D2"/>
      <color rgb="FFF9C1AF"/>
      <color rgb="FFC9BFFF"/>
      <color rgb="FFF7CD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s://fred.stlouisfed.org/series/MVMTD027MNFRBDAL" TargetMode="External"/><Relationship Id="rId2" Type="http://schemas.openxmlformats.org/officeDocument/2006/relationships/hyperlink" Target="https://fred.stlouisfed.org/series/HNOCEA" TargetMode="External"/><Relationship Id="rId1" Type="http://schemas.openxmlformats.org/officeDocument/2006/relationships/hyperlink" Target="https://fred.stlouisfed.org/release/tables?eid=804144&amp;rid=52"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fred.stlouisfed.org/series/DPCCRV1Q225SBEA" TargetMode="External"/><Relationship Id="rId7" Type="http://schemas.openxmlformats.org/officeDocument/2006/relationships/hyperlink" Target="https://fred.stlouisfed.org/series/M1SL" TargetMode="External"/><Relationship Id="rId2" Type="http://schemas.openxmlformats.org/officeDocument/2006/relationships/hyperlink" Target="https://fred.stlouisfed.org/series/GFDEBTN" TargetMode="External"/><Relationship Id="rId1" Type="http://schemas.openxmlformats.org/officeDocument/2006/relationships/hyperlink" Target="https://fred.stlouisfed.org/series/PSAVE" TargetMode="External"/><Relationship Id="rId6" Type="http://schemas.openxmlformats.org/officeDocument/2006/relationships/hyperlink" Target="https://www.federalreserve.gov/monetarypolicy/bst_recenttrends.htm" TargetMode="External"/><Relationship Id="rId5" Type="http://schemas.openxmlformats.org/officeDocument/2006/relationships/hyperlink" Target="https://fred.stlouisfed.org/series/GDP" TargetMode="External"/><Relationship Id="rId4" Type="http://schemas.openxmlformats.org/officeDocument/2006/relationships/hyperlink" Target="https://www.federalreserve.gov/monetarypolicy/fomcprojtabl20260318.ht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fred.stlouisfed.org/release/tables?eid=804144&amp;rid=52"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stlouisfed.org/publications/regional-economist/issue/2010-07-01/measuring-infl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5AE3A-A97A-A844-BA37-5B98D1B9E7D7}">
  <dimension ref="A2:B7"/>
  <sheetViews>
    <sheetView workbookViewId="0">
      <selection activeCell="A4" sqref="A4"/>
    </sheetView>
  </sheetViews>
  <sheetFormatPr baseColWidth="10" defaultRowHeight="16" x14ac:dyDescent="0.2"/>
  <cols>
    <col min="2" max="2" width="21.83203125" customWidth="1"/>
  </cols>
  <sheetData>
    <row r="2" spans="1:2" x14ac:dyDescent="0.2">
      <c r="A2" s="1"/>
      <c r="B2" t="s">
        <v>1</v>
      </c>
    </row>
    <row r="3" spans="1:2" x14ac:dyDescent="0.2">
      <c r="A3" s="2"/>
      <c r="B3" t="s">
        <v>2</v>
      </c>
    </row>
    <row r="4" spans="1:2" x14ac:dyDescent="0.2">
      <c r="A4" s="3"/>
      <c r="B4" t="s">
        <v>3</v>
      </c>
    </row>
    <row r="5" spans="1:2" x14ac:dyDescent="0.2">
      <c r="A5" s="7"/>
      <c r="B5" t="s">
        <v>13</v>
      </c>
    </row>
    <row r="6" spans="1:2" x14ac:dyDescent="0.2">
      <c r="A6" s="4"/>
      <c r="B6" t="s">
        <v>11</v>
      </c>
    </row>
    <row r="7" spans="1:2" x14ac:dyDescent="0.2">
      <c r="A7" s="16"/>
      <c r="B7" t="s">
        <v>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3212-A67C-F742-9FB3-FB0D34A2F2D5}">
  <dimension ref="A1:E49"/>
  <sheetViews>
    <sheetView tabSelected="1" topLeftCell="A32" zoomScale="140" zoomScaleNormal="140" workbookViewId="0">
      <selection activeCell="B45" sqref="B45"/>
    </sheetView>
  </sheetViews>
  <sheetFormatPr baseColWidth="10" defaultRowHeight="16" x14ac:dyDescent="0.2"/>
  <cols>
    <col min="1" max="1" width="29.6640625" customWidth="1"/>
    <col min="2" max="2" width="27.6640625" customWidth="1"/>
    <col min="3" max="4" width="58.1640625" customWidth="1"/>
  </cols>
  <sheetData>
    <row r="1" spans="1:5" ht="17" x14ac:dyDescent="0.2">
      <c r="A1" s="15" t="s">
        <v>205</v>
      </c>
      <c r="B1" t="s">
        <v>206</v>
      </c>
    </row>
    <row r="2" spans="1:5" ht="68" x14ac:dyDescent="0.2">
      <c r="A2" s="15" t="s">
        <v>207</v>
      </c>
    </row>
    <row r="9" spans="1:5" ht="17" x14ac:dyDescent="0.2">
      <c r="A9" s="15" t="s">
        <v>220</v>
      </c>
    </row>
    <row r="10" spans="1:5" ht="68" x14ac:dyDescent="0.2">
      <c r="A10" s="12" t="s">
        <v>5</v>
      </c>
      <c r="B10" s="12" t="s">
        <v>4</v>
      </c>
      <c r="C10" s="12" t="s">
        <v>46</v>
      </c>
      <c r="D10" s="12" t="s">
        <v>6</v>
      </c>
    </row>
    <row r="11" spans="1:5" ht="34" x14ac:dyDescent="0.2">
      <c r="A11" s="24" t="s">
        <v>208</v>
      </c>
      <c r="D11">
        <v>100</v>
      </c>
    </row>
    <row r="12" spans="1:5" ht="17" x14ac:dyDescent="0.2">
      <c r="A12" s="10" t="s">
        <v>17</v>
      </c>
      <c r="D12" t="s">
        <v>60</v>
      </c>
    </row>
    <row r="13" spans="1:5" ht="51" x14ac:dyDescent="0.2">
      <c r="A13" s="14" t="s">
        <v>209</v>
      </c>
      <c r="C13" s="7" t="s">
        <v>146</v>
      </c>
      <c r="D13" s="36">
        <v>0.04</v>
      </c>
    </row>
    <row r="14" spans="1:5" ht="51" x14ac:dyDescent="0.2">
      <c r="A14" s="9" t="s">
        <v>211</v>
      </c>
      <c r="D14">
        <f>1.04*D11</f>
        <v>104</v>
      </c>
      <c r="E14" s="5" t="s">
        <v>210</v>
      </c>
    </row>
    <row r="15" spans="1:5" x14ac:dyDescent="0.2">
      <c r="A15" s="37"/>
    </row>
    <row r="16" spans="1:5" ht="34" x14ac:dyDescent="0.2">
      <c r="A16" s="15" t="s">
        <v>221</v>
      </c>
    </row>
    <row r="17" spans="1:5" ht="17" x14ac:dyDescent="0.2">
      <c r="A17" s="12" t="s">
        <v>5</v>
      </c>
      <c r="B17" s="12" t="s">
        <v>4</v>
      </c>
      <c r="C17" s="12" t="s">
        <v>46</v>
      </c>
      <c r="D17" s="12" t="s">
        <v>6</v>
      </c>
    </row>
    <row r="18" spans="1:5" ht="34" x14ac:dyDescent="0.2">
      <c r="A18" s="14" t="s">
        <v>212</v>
      </c>
      <c r="C18" s="7" t="s">
        <v>146</v>
      </c>
      <c r="D18">
        <v>1.9</v>
      </c>
    </row>
    <row r="19" spans="1:5" ht="17" x14ac:dyDescent="0.2">
      <c r="A19" s="10" t="s">
        <v>17</v>
      </c>
      <c r="D19" t="s">
        <v>60</v>
      </c>
    </row>
    <row r="20" spans="1:5" ht="34" x14ac:dyDescent="0.2">
      <c r="A20" s="14" t="s">
        <v>213</v>
      </c>
      <c r="C20" s="7" t="s">
        <v>146</v>
      </c>
      <c r="D20">
        <v>2.9</v>
      </c>
    </row>
    <row r="21" spans="1:5" ht="17" x14ac:dyDescent="0.2">
      <c r="A21" s="9" t="s">
        <v>15</v>
      </c>
      <c r="D21">
        <f>D18*D20</f>
        <v>5.51</v>
      </c>
    </row>
    <row r="22" spans="1:5" ht="17" x14ac:dyDescent="0.2">
      <c r="A22" s="10" t="s">
        <v>17</v>
      </c>
      <c r="D22" t="s">
        <v>60</v>
      </c>
    </row>
    <row r="23" spans="1:5" ht="34" x14ac:dyDescent="0.2">
      <c r="A23" s="24" t="s">
        <v>214</v>
      </c>
      <c r="B23" s="5" t="s">
        <v>215</v>
      </c>
      <c r="D23">
        <v>2.71</v>
      </c>
    </row>
    <row r="24" spans="1:5" ht="68" x14ac:dyDescent="0.2">
      <c r="A24" s="9" t="s">
        <v>216</v>
      </c>
      <c r="B24" t="s">
        <v>219</v>
      </c>
      <c r="D24" s="30">
        <f>D21*D23</f>
        <v>14.932099999999998</v>
      </c>
      <c r="E24" s="5" t="s">
        <v>217</v>
      </c>
    </row>
    <row r="25" spans="1:5" ht="17" x14ac:dyDescent="0.2">
      <c r="A25" s="10" t="s">
        <v>17</v>
      </c>
      <c r="D25" t="s">
        <v>60</v>
      </c>
    </row>
    <row r="26" spans="1:5" ht="51" x14ac:dyDescent="0.2">
      <c r="A26" s="9" t="s">
        <v>211</v>
      </c>
      <c r="D26">
        <f>D14</f>
        <v>104</v>
      </c>
    </row>
    <row r="27" spans="1:5" ht="34" x14ac:dyDescent="0.2">
      <c r="A27" s="9" t="s">
        <v>218</v>
      </c>
      <c r="D27" s="30">
        <f>D26*((D24/100)+1)</f>
        <v>119.52938400000001</v>
      </c>
    </row>
    <row r="28" spans="1:5" ht="17" x14ac:dyDescent="0.2">
      <c r="A28" s="10" t="s">
        <v>17</v>
      </c>
      <c r="D28" s="30" t="s">
        <v>20</v>
      </c>
    </row>
    <row r="29" spans="1:5" x14ac:dyDescent="0.2">
      <c r="A29" s="37"/>
      <c r="D29" s="30">
        <v>100</v>
      </c>
    </row>
    <row r="30" spans="1:5" x14ac:dyDescent="0.2">
      <c r="A30" s="9" t="s">
        <v>232</v>
      </c>
      <c r="D30" s="23">
        <f>D27/100</f>
        <v>1.1952938400000002</v>
      </c>
    </row>
    <row r="32" spans="1:5" ht="68" x14ac:dyDescent="0.2">
      <c r="A32" s="15" t="s">
        <v>222</v>
      </c>
      <c r="B32" s="15" t="s">
        <v>227</v>
      </c>
    </row>
    <row r="33" spans="1:5" ht="17" x14ac:dyDescent="0.2">
      <c r="A33" s="12" t="s">
        <v>5</v>
      </c>
      <c r="B33" s="12" t="s">
        <v>4</v>
      </c>
      <c r="C33" s="12" t="s">
        <v>46</v>
      </c>
      <c r="D33" s="12" t="s">
        <v>6</v>
      </c>
    </row>
    <row r="34" spans="1:5" ht="51" x14ac:dyDescent="0.2">
      <c r="A34" s="14" t="s">
        <v>223</v>
      </c>
      <c r="D34">
        <v>4.93</v>
      </c>
    </row>
    <row r="35" spans="1:5" ht="17" x14ac:dyDescent="0.2">
      <c r="A35" s="10" t="s">
        <v>17</v>
      </c>
      <c r="D35" t="s">
        <v>224</v>
      </c>
    </row>
    <row r="36" spans="1:5" ht="17" x14ac:dyDescent="0.2">
      <c r="A36" s="9" t="s">
        <v>115</v>
      </c>
      <c r="D36" s="30">
        <f>D34^3-D34^2</f>
        <v>95.518256999999977</v>
      </c>
    </row>
    <row r="37" spans="1:5" ht="17" x14ac:dyDescent="0.2">
      <c r="A37" s="10" t="s">
        <v>17</v>
      </c>
      <c r="D37" t="s">
        <v>116</v>
      </c>
    </row>
    <row r="38" spans="1:5" ht="34" x14ac:dyDescent="0.2">
      <c r="A38" s="9" t="s">
        <v>225</v>
      </c>
      <c r="D38">
        <f>SQRT(D36)</f>
        <v>9.7733442075883108</v>
      </c>
    </row>
    <row r="39" spans="1:5" ht="17" x14ac:dyDescent="0.2">
      <c r="A39" s="15" t="s">
        <v>226</v>
      </c>
    </row>
    <row r="40" spans="1:5" ht="17" x14ac:dyDescent="0.2">
      <c r="A40" s="12" t="s">
        <v>5</v>
      </c>
      <c r="B40" s="12" t="s">
        <v>4</v>
      </c>
      <c r="C40" s="12" t="s">
        <v>46</v>
      </c>
      <c r="D40" s="12" t="s">
        <v>6</v>
      </c>
    </row>
    <row r="41" spans="1:5" ht="34" x14ac:dyDescent="0.2">
      <c r="A41" s="9" t="s">
        <v>218</v>
      </c>
      <c r="D41" s="21">
        <f>D30</f>
        <v>1.1952938400000002</v>
      </c>
    </row>
    <row r="42" spans="1:5" ht="17" x14ac:dyDescent="0.2">
      <c r="A42" s="10" t="s">
        <v>17</v>
      </c>
      <c r="D42" t="s">
        <v>60</v>
      </c>
    </row>
    <row r="43" spans="1:5" ht="34" x14ac:dyDescent="0.2">
      <c r="A43" s="9" t="s">
        <v>234</v>
      </c>
      <c r="D43">
        <f>1.097</f>
        <v>1.097</v>
      </c>
      <c r="E43" t="s">
        <v>187</v>
      </c>
    </row>
    <row r="44" spans="1:5" ht="34" x14ac:dyDescent="0.2">
      <c r="A44" s="9" t="s">
        <v>229</v>
      </c>
      <c r="D44" s="21">
        <f>D41*D43</f>
        <v>1.3112373424800001</v>
      </c>
    </row>
    <row r="46" spans="1:5" ht="34" x14ac:dyDescent="0.2">
      <c r="A46" s="9" t="s">
        <v>218</v>
      </c>
      <c r="D46" s="21">
        <f>D30</f>
        <v>1.1952938400000002</v>
      </c>
    </row>
    <row r="47" spans="1:5" ht="17" x14ac:dyDescent="0.2">
      <c r="A47" s="10" t="s">
        <v>17</v>
      </c>
      <c r="D47" t="s">
        <v>60</v>
      </c>
    </row>
    <row r="48" spans="1:5" ht="51" x14ac:dyDescent="0.2">
      <c r="A48" s="9" t="s">
        <v>233</v>
      </c>
      <c r="D48">
        <f>1-0.097</f>
        <v>0.90300000000000002</v>
      </c>
    </row>
    <row r="49" spans="1:4" ht="34" x14ac:dyDescent="0.2">
      <c r="A49" s="9" t="s">
        <v>228</v>
      </c>
      <c r="D49" s="21">
        <f>D46*D48</f>
        <v>1.0793503375200002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9D92F-4D68-AD41-92EA-9657EAEFBFC3}">
  <dimension ref="A1:E44"/>
  <sheetViews>
    <sheetView topLeftCell="A29" zoomScale="160" zoomScaleNormal="160" workbookViewId="0">
      <selection activeCell="B21" sqref="B21"/>
    </sheetView>
  </sheetViews>
  <sheetFormatPr baseColWidth="10" defaultRowHeight="16" x14ac:dyDescent="0.2"/>
  <cols>
    <col min="1" max="1" width="31.83203125" customWidth="1"/>
    <col min="2" max="3" width="38.6640625" customWidth="1"/>
    <col min="4" max="4" width="29.6640625" customWidth="1"/>
  </cols>
  <sheetData>
    <row r="1" spans="1:4" ht="34" x14ac:dyDescent="0.2">
      <c r="A1" s="15" t="s">
        <v>175</v>
      </c>
      <c r="B1" t="s">
        <v>186</v>
      </c>
    </row>
    <row r="2" spans="1:4" ht="170" x14ac:dyDescent="0.2">
      <c r="A2" s="15" t="s">
        <v>188</v>
      </c>
    </row>
    <row r="3" spans="1:4" ht="17" x14ac:dyDescent="0.2">
      <c r="A3" s="15" t="s">
        <v>185</v>
      </c>
    </row>
    <row r="4" spans="1:4" ht="17" x14ac:dyDescent="0.2">
      <c r="A4" s="15" t="s">
        <v>179</v>
      </c>
    </row>
    <row r="5" spans="1:4" ht="17" x14ac:dyDescent="0.2">
      <c r="A5" s="12" t="s">
        <v>5</v>
      </c>
      <c r="B5" s="12" t="s">
        <v>4</v>
      </c>
      <c r="C5" s="12" t="s">
        <v>46</v>
      </c>
      <c r="D5" s="12" t="s">
        <v>6</v>
      </c>
    </row>
    <row r="6" spans="1:4" x14ac:dyDescent="0.2">
      <c r="A6" s="1" t="s">
        <v>178</v>
      </c>
      <c r="B6" s="34" t="s">
        <v>177</v>
      </c>
      <c r="C6" s="7" t="s">
        <v>146</v>
      </c>
      <c r="D6" s="35">
        <v>47185</v>
      </c>
    </row>
    <row r="7" spans="1:4" x14ac:dyDescent="0.2">
      <c r="B7" s="34" t="s">
        <v>176</v>
      </c>
    </row>
    <row r="8" spans="1:4" ht="17" x14ac:dyDescent="0.2">
      <c r="A8" s="10" t="s">
        <v>17</v>
      </c>
      <c r="D8" t="s">
        <v>20</v>
      </c>
    </row>
    <row r="9" spans="1:4" x14ac:dyDescent="0.2">
      <c r="A9" s="1" t="s">
        <v>180</v>
      </c>
      <c r="C9" s="7" t="s">
        <v>146</v>
      </c>
      <c r="D9">
        <v>31442</v>
      </c>
    </row>
    <row r="10" spans="1:4" ht="51" x14ac:dyDescent="0.2">
      <c r="A10" s="9" t="s">
        <v>181</v>
      </c>
      <c r="D10" s="30">
        <f>D6/D9</f>
        <v>1.5006997010368297</v>
      </c>
    </row>
    <row r="11" spans="1:4" ht="17" x14ac:dyDescent="0.2">
      <c r="A11" s="10" t="s">
        <v>17</v>
      </c>
      <c r="D11" t="s">
        <v>60</v>
      </c>
    </row>
    <row r="12" spans="1:4" x14ac:dyDescent="0.2">
      <c r="A12" s="32" t="s">
        <v>182</v>
      </c>
      <c r="D12">
        <v>15.81</v>
      </c>
    </row>
    <row r="13" spans="1:4" ht="34" x14ac:dyDescent="0.2">
      <c r="A13" s="9" t="s">
        <v>183</v>
      </c>
      <c r="D13" s="30">
        <f>D10*D12</f>
        <v>23.726062273392277</v>
      </c>
    </row>
    <row r="15" spans="1:4" ht="17" x14ac:dyDescent="0.2">
      <c r="A15" s="15" t="s">
        <v>184</v>
      </c>
    </row>
    <row r="17" spans="1:5" ht="17" x14ac:dyDescent="0.2">
      <c r="A17" s="12" t="s">
        <v>5</v>
      </c>
      <c r="B17" s="12" t="s">
        <v>4</v>
      </c>
      <c r="C17" s="12" t="s">
        <v>46</v>
      </c>
      <c r="D17" s="12" t="s">
        <v>6</v>
      </c>
    </row>
    <row r="18" spans="1:5" ht="34" x14ac:dyDescent="0.2">
      <c r="A18" s="14" t="s">
        <v>230</v>
      </c>
      <c r="B18" s="34" t="s">
        <v>171</v>
      </c>
      <c r="C18" s="7" t="s">
        <v>146</v>
      </c>
      <c r="D18">
        <v>29299</v>
      </c>
    </row>
    <row r="19" spans="1:5" ht="17" x14ac:dyDescent="0.2">
      <c r="A19" s="10" t="s">
        <v>17</v>
      </c>
      <c r="D19" t="s">
        <v>24</v>
      </c>
    </row>
    <row r="20" spans="1:5" ht="51" x14ac:dyDescent="0.2">
      <c r="A20" s="1" t="s">
        <v>189</v>
      </c>
      <c r="B20" s="5" t="s">
        <v>231</v>
      </c>
      <c r="D20">
        <v>1853</v>
      </c>
    </row>
    <row r="21" spans="1:5" ht="17" x14ac:dyDescent="0.2">
      <c r="A21" s="9" t="s">
        <v>190</v>
      </c>
      <c r="D21">
        <f>D18+D20</f>
        <v>31152</v>
      </c>
    </row>
    <row r="22" spans="1:5" ht="17" x14ac:dyDescent="0.2">
      <c r="A22" s="10" t="s">
        <v>17</v>
      </c>
      <c r="D22" t="s">
        <v>20</v>
      </c>
    </row>
    <row r="23" spans="1:5" x14ac:dyDescent="0.2">
      <c r="A23" s="1" t="s">
        <v>131</v>
      </c>
      <c r="C23" s="7" t="s">
        <v>146</v>
      </c>
      <c r="D23">
        <v>31442</v>
      </c>
    </row>
    <row r="24" spans="1:5" ht="17" x14ac:dyDescent="0.2">
      <c r="A24" s="9" t="s">
        <v>192</v>
      </c>
      <c r="D24" s="30">
        <f>(D21/D23)*100</f>
        <v>99.077666815088094</v>
      </c>
      <c r="E24" t="s">
        <v>191</v>
      </c>
    </row>
    <row r="25" spans="1:5" ht="17" x14ac:dyDescent="0.2">
      <c r="A25" s="10" t="s">
        <v>17</v>
      </c>
      <c r="D25" t="s">
        <v>10</v>
      </c>
    </row>
    <row r="26" spans="1:5" x14ac:dyDescent="0.2">
      <c r="A26" s="32" t="s">
        <v>193</v>
      </c>
      <c r="D26">
        <v>2.5</v>
      </c>
    </row>
    <row r="27" spans="1:5" ht="17" x14ac:dyDescent="0.2">
      <c r="A27" s="9" t="s">
        <v>194</v>
      </c>
      <c r="D27">
        <f>(D24*D26)/100</f>
        <v>2.4769416703772023</v>
      </c>
      <c r="E27" t="s">
        <v>187</v>
      </c>
    </row>
    <row r="28" spans="1:5" ht="17" x14ac:dyDescent="0.2">
      <c r="A28" s="10" t="s">
        <v>17</v>
      </c>
      <c r="D28" t="s">
        <v>10</v>
      </c>
    </row>
    <row r="29" spans="1:5" x14ac:dyDescent="0.2">
      <c r="A29" s="1" t="s">
        <v>195</v>
      </c>
      <c r="B29" t="s">
        <v>196</v>
      </c>
      <c r="C29" s="7" t="s">
        <v>146</v>
      </c>
      <c r="D29">
        <v>1.61</v>
      </c>
    </row>
    <row r="30" spans="1:5" ht="17" x14ac:dyDescent="0.2">
      <c r="A30" s="9" t="s">
        <v>197</v>
      </c>
      <c r="D30" s="30">
        <f>D27*D29</f>
        <v>3.9878760893072958</v>
      </c>
    </row>
    <row r="32" spans="1:5" ht="17" x14ac:dyDescent="0.2">
      <c r="A32" s="15" t="s">
        <v>198</v>
      </c>
    </row>
    <row r="34" spans="1:4" ht="17" x14ac:dyDescent="0.2">
      <c r="A34" s="12" t="s">
        <v>5</v>
      </c>
      <c r="B34" s="12" t="s">
        <v>4</v>
      </c>
      <c r="C34" s="12" t="s">
        <v>46</v>
      </c>
      <c r="D34" s="12" t="s">
        <v>6</v>
      </c>
    </row>
    <row r="35" spans="1:4" x14ac:dyDescent="0.2">
      <c r="A35" s="32" t="s">
        <v>199</v>
      </c>
      <c r="D35">
        <v>100</v>
      </c>
    </row>
    <row r="36" spans="1:4" ht="17" x14ac:dyDescent="0.2">
      <c r="A36" s="10" t="s">
        <v>17</v>
      </c>
      <c r="D36" t="s">
        <v>20</v>
      </c>
    </row>
    <row r="37" spans="1:4" ht="17" x14ac:dyDescent="0.2">
      <c r="A37" s="9" t="s">
        <v>197</v>
      </c>
      <c r="D37" s="30">
        <f>D30</f>
        <v>3.9878760893072958</v>
      </c>
    </row>
    <row r="38" spans="1:4" ht="34" x14ac:dyDescent="0.2">
      <c r="A38" s="9" t="s">
        <v>200</v>
      </c>
      <c r="D38" s="30">
        <f>D35/D37</f>
        <v>25.07600481071373</v>
      </c>
    </row>
    <row r="39" spans="1:4" ht="17" x14ac:dyDescent="0.2">
      <c r="A39" s="10" t="s">
        <v>17</v>
      </c>
      <c r="D39" t="s">
        <v>20</v>
      </c>
    </row>
    <row r="40" spans="1:4" ht="34" x14ac:dyDescent="0.2">
      <c r="A40" s="9" t="s">
        <v>183</v>
      </c>
      <c r="D40" s="30">
        <f>D13</f>
        <v>23.726062273392277</v>
      </c>
    </row>
    <row r="41" spans="1:4" ht="17" x14ac:dyDescent="0.2">
      <c r="A41" s="9" t="s">
        <v>201</v>
      </c>
      <c r="D41" s="21">
        <f>D38/D40</f>
        <v>1.0568970325444755</v>
      </c>
    </row>
    <row r="42" spans="1:4" ht="17" x14ac:dyDescent="0.2">
      <c r="A42" s="10" t="s">
        <v>17</v>
      </c>
      <c r="D42" t="s">
        <v>10</v>
      </c>
    </row>
    <row r="43" spans="1:4" ht="34" x14ac:dyDescent="0.2">
      <c r="A43" s="14" t="s">
        <v>202</v>
      </c>
      <c r="B43" s="5"/>
      <c r="C43" s="7" t="s">
        <v>146</v>
      </c>
      <c r="D43">
        <v>48000</v>
      </c>
    </row>
    <row r="44" spans="1:4" ht="51" x14ac:dyDescent="0.2">
      <c r="A44" s="9" t="s">
        <v>203</v>
      </c>
      <c r="B44" s="5" t="s">
        <v>204</v>
      </c>
      <c r="D44" s="21">
        <f>D41*D43</f>
        <v>50731.057562134825</v>
      </c>
    </row>
  </sheetData>
  <hyperlinks>
    <hyperlink ref="B6" r:id="rId1" display="Link to L.101" xr:uid="{8B9CA6D4-C770-4246-B019-F71894F3AA06}"/>
    <hyperlink ref="B7" r:id="rId2" xr:uid="{C6008ED3-91A3-504F-B7E1-1EED658F2DC6}"/>
    <hyperlink ref="B18" r:id="rId3" xr:uid="{12E213FD-F4D0-F046-ACB0-46476331C3C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BD2ED-9392-B649-87A0-8054505B6E65}">
  <dimension ref="A1:D41"/>
  <sheetViews>
    <sheetView zoomScaleNormal="175" workbookViewId="0">
      <selection activeCell="A40" sqref="A40:A41"/>
    </sheetView>
  </sheetViews>
  <sheetFormatPr baseColWidth="10" defaultRowHeight="16" x14ac:dyDescent="0.2"/>
  <cols>
    <col min="1" max="1" width="30.83203125" customWidth="1"/>
    <col min="2" max="2" width="47" customWidth="1"/>
    <col min="3" max="3" width="29.6640625" customWidth="1"/>
    <col min="4" max="4" width="33.6640625" customWidth="1"/>
  </cols>
  <sheetData>
    <row r="1" spans="1:4" ht="119" x14ac:dyDescent="0.2">
      <c r="B1" s="15" t="s">
        <v>109</v>
      </c>
    </row>
    <row r="2" spans="1:4" ht="34" x14ac:dyDescent="0.2">
      <c r="B2" s="15" t="s">
        <v>126</v>
      </c>
    </row>
    <row r="4" spans="1:4" ht="68" x14ac:dyDescent="0.2">
      <c r="A4" s="12" t="s">
        <v>5</v>
      </c>
      <c r="B4" s="12" t="s">
        <v>4</v>
      </c>
      <c r="C4" s="12" t="s">
        <v>46</v>
      </c>
      <c r="D4" s="12" t="s">
        <v>6</v>
      </c>
    </row>
    <row r="5" spans="1:4" x14ac:dyDescent="0.2">
      <c r="A5" s="1" t="s">
        <v>57</v>
      </c>
      <c r="C5" s="7" t="s">
        <v>110</v>
      </c>
      <c r="D5">
        <v>122.49</v>
      </c>
    </row>
    <row r="6" spans="1:4" ht="17" x14ac:dyDescent="0.2">
      <c r="A6" s="10" t="s">
        <v>17</v>
      </c>
      <c r="D6" t="s">
        <v>10</v>
      </c>
    </row>
    <row r="7" spans="1:4" ht="17" x14ac:dyDescent="0.2">
      <c r="A7" s="24" t="s">
        <v>59</v>
      </c>
      <c r="D7">
        <v>2.5</v>
      </c>
    </row>
    <row r="8" spans="1:4" x14ac:dyDescent="0.2">
      <c r="A8" s="3" t="s">
        <v>61</v>
      </c>
      <c r="D8">
        <f>(D5*D7)/100</f>
        <v>3.0622499999999997</v>
      </c>
    </row>
    <row r="9" spans="1:4" ht="17" x14ac:dyDescent="0.2">
      <c r="A9" s="10" t="s">
        <v>17</v>
      </c>
      <c r="D9" t="s">
        <v>10</v>
      </c>
    </row>
    <row r="10" spans="1:4" x14ac:dyDescent="0.2">
      <c r="A10" s="1" t="s">
        <v>89</v>
      </c>
      <c r="C10" s="7" t="s">
        <v>110</v>
      </c>
      <c r="D10">
        <v>2.9</v>
      </c>
    </row>
    <row r="11" spans="1:4" x14ac:dyDescent="0.2">
      <c r="A11" s="3" t="s">
        <v>111</v>
      </c>
      <c r="D11">
        <f>D10*D8</f>
        <v>8.8805249999999987</v>
      </c>
    </row>
    <row r="12" spans="1:4" ht="17" x14ac:dyDescent="0.2">
      <c r="A12" s="10" t="s">
        <v>17</v>
      </c>
      <c r="D12" t="s">
        <v>35</v>
      </c>
    </row>
    <row r="13" spans="1:4" ht="51" x14ac:dyDescent="0.2">
      <c r="A13" s="9" t="s">
        <v>112</v>
      </c>
      <c r="D13">
        <f>D11^2</f>
        <v>78.863724275624975</v>
      </c>
    </row>
    <row r="14" spans="1:4" x14ac:dyDescent="0.2">
      <c r="A14" s="3" t="s">
        <v>111</v>
      </c>
      <c r="D14">
        <v>8.8805250000000004</v>
      </c>
    </row>
    <row r="15" spans="1:4" ht="17" x14ac:dyDescent="0.2">
      <c r="A15" s="10" t="s">
        <v>17</v>
      </c>
      <c r="D15" t="s">
        <v>113</v>
      </c>
    </row>
    <row r="16" spans="1:4" ht="34" x14ac:dyDescent="0.2">
      <c r="A16" s="9" t="s">
        <v>114</v>
      </c>
      <c r="D16">
        <f>D11^3</f>
        <v>700.35127502279443</v>
      </c>
    </row>
    <row r="17" spans="1:4" ht="28" customHeight="1" x14ac:dyDescent="0.2">
      <c r="A17" s="10" t="s">
        <v>17</v>
      </c>
      <c r="D17" t="s">
        <v>31</v>
      </c>
    </row>
    <row r="18" spans="1:4" ht="42" customHeight="1" x14ac:dyDescent="0.2">
      <c r="A18" s="9" t="s">
        <v>112</v>
      </c>
      <c r="D18">
        <f>D13</f>
        <v>78.863724275624975</v>
      </c>
    </row>
    <row r="19" spans="1:4" ht="17" x14ac:dyDescent="0.2">
      <c r="A19" s="9" t="s">
        <v>115</v>
      </c>
      <c r="D19">
        <f>D16-D18</f>
        <v>621.48755074716951</v>
      </c>
    </row>
    <row r="20" spans="1:4" ht="17" x14ac:dyDescent="0.2">
      <c r="A20" s="10" t="s">
        <v>17</v>
      </c>
      <c r="D20" t="s">
        <v>116</v>
      </c>
    </row>
    <row r="21" spans="1:4" ht="34" x14ac:dyDescent="0.2">
      <c r="A21" s="9" t="s">
        <v>117</v>
      </c>
      <c r="D21">
        <f>SQRT(D19)</f>
        <v>24.929652038228884</v>
      </c>
    </row>
    <row r="24" spans="1:4" ht="51" x14ac:dyDescent="0.2">
      <c r="A24" s="10" t="s">
        <v>118</v>
      </c>
    </row>
    <row r="25" spans="1:4" ht="17" x14ac:dyDescent="0.2">
      <c r="A25" s="10" t="s">
        <v>119</v>
      </c>
    </row>
    <row r="27" spans="1:4" ht="34" x14ac:dyDescent="0.2">
      <c r="A27" s="12" t="s">
        <v>5</v>
      </c>
      <c r="B27" s="12" t="s">
        <v>4</v>
      </c>
      <c r="C27" s="12" t="s">
        <v>46</v>
      </c>
      <c r="D27" s="12" t="s">
        <v>6</v>
      </c>
    </row>
    <row r="28" spans="1:4" ht="17" x14ac:dyDescent="0.2">
      <c r="A28" s="9" t="s">
        <v>122</v>
      </c>
      <c r="D28">
        <f>D29*D30</f>
        <v>144.92965203822888</v>
      </c>
    </row>
    <row r="29" spans="1:4" x14ac:dyDescent="0.2">
      <c r="A29" t="s">
        <v>125</v>
      </c>
      <c r="D29">
        <f>(D32/D30)+1</f>
        <v>1.207747100318574</v>
      </c>
    </row>
    <row r="30" spans="1:4" x14ac:dyDescent="0.2">
      <c r="A30" s="1" t="s">
        <v>120</v>
      </c>
      <c r="C30" s="33" t="s">
        <v>121</v>
      </c>
      <c r="D30">
        <v>120</v>
      </c>
    </row>
    <row r="31" spans="1:4" x14ac:dyDescent="0.2">
      <c r="D31" t="s">
        <v>20</v>
      </c>
    </row>
    <row r="32" spans="1:4" ht="34" x14ac:dyDescent="0.2">
      <c r="A32" s="9" t="s">
        <v>117</v>
      </c>
      <c r="D32">
        <f>D21</f>
        <v>24.929652038228884</v>
      </c>
    </row>
    <row r="33" spans="1:4" x14ac:dyDescent="0.2">
      <c r="D33" t="s">
        <v>20</v>
      </c>
    </row>
    <row r="34" spans="1:4" x14ac:dyDescent="0.2">
      <c r="A34" s="1" t="s">
        <v>120</v>
      </c>
      <c r="C34" s="33" t="s">
        <v>121</v>
      </c>
      <c r="D34">
        <v>120</v>
      </c>
    </row>
    <row r="35" spans="1:4" x14ac:dyDescent="0.2">
      <c r="A35" t="s">
        <v>124</v>
      </c>
      <c r="D35">
        <f>D32/D34</f>
        <v>0.20774710031857405</v>
      </c>
    </row>
    <row r="36" spans="1:4" ht="17" x14ac:dyDescent="0.2">
      <c r="A36" s="9" t="s">
        <v>123</v>
      </c>
      <c r="D36">
        <f>(1-D35)*D34</f>
        <v>95.07034796177112</v>
      </c>
    </row>
    <row r="40" spans="1:4" ht="119" x14ac:dyDescent="0.2">
      <c r="A40" s="15" t="s">
        <v>54</v>
      </c>
    </row>
    <row r="41" spans="1:4" ht="17" x14ac:dyDescent="0.2">
      <c r="A41" s="15"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DCF00-DD04-924F-99FA-1A57F1A0B568}">
  <dimension ref="A3:E74"/>
  <sheetViews>
    <sheetView topLeftCell="A24" zoomScale="150" workbookViewId="0">
      <selection activeCell="A43" sqref="A43"/>
    </sheetView>
  </sheetViews>
  <sheetFormatPr baseColWidth="10" defaultRowHeight="16" x14ac:dyDescent="0.2"/>
  <cols>
    <col min="1" max="1" width="48" customWidth="1"/>
    <col min="2" max="2" width="23.33203125" customWidth="1"/>
    <col min="3" max="3" width="31.33203125" customWidth="1"/>
    <col min="4" max="4" width="27.1640625" customWidth="1"/>
  </cols>
  <sheetData>
    <row r="3" spans="1:5" ht="85" x14ac:dyDescent="0.2">
      <c r="A3" s="15" t="s">
        <v>150</v>
      </c>
    </row>
    <row r="7" spans="1:5" ht="17" x14ac:dyDescent="0.2">
      <c r="A7" s="15" t="s">
        <v>144</v>
      </c>
    </row>
    <row r="8" spans="1:5" x14ac:dyDescent="0.2">
      <c r="A8" s="15" t="s">
        <v>145</v>
      </c>
    </row>
    <row r="9" spans="1:5" ht="17" x14ac:dyDescent="0.2">
      <c r="A9" s="12" t="s">
        <v>5</v>
      </c>
      <c r="B9" s="12" t="s">
        <v>4</v>
      </c>
      <c r="C9" s="12" t="s">
        <v>46</v>
      </c>
      <c r="D9" s="12" t="s">
        <v>6</v>
      </c>
    </row>
    <row r="10" spans="1:5" x14ac:dyDescent="0.2">
      <c r="A10" s="1" t="s">
        <v>173</v>
      </c>
      <c r="B10" s="34" t="s">
        <v>171</v>
      </c>
      <c r="C10" s="7" t="s">
        <v>146</v>
      </c>
      <c r="D10">
        <v>19194</v>
      </c>
    </row>
    <row r="11" spans="1:5" ht="17" x14ac:dyDescent="0.2">
      <c r="A11" s="10" t="s">
        <v>17</v>
      </c>
      <c r="D11" t="s">
        <v>24</v>
      </c>
    </row>
    <row r="12" spans="1:5" ht="34" x14ac:dyDescent="0.2">
      <c r="A12" s="14" t="s">
        <v>172</v>
      </c>
      <c r="B12" s="34" t="s">
        <v>171</v>
      </c>
      <c r="C12" s="7" t="s">
        <v>146</v>
      </c>
      <c r="D12">
        <v>6632</v>
      </c>
    </row>
    <row r="13" spans="1:5" ht="17" x14ac:dyDescent="0.2">
      <c r="A13" s="9" t="s">
        <v>147</v>
      </c>
      <c r="D13">
        <f>D10+D12</f>
        <v>25826</v>
      </c>
    </row>
    <row r="14" spans="1:5" ht="17" x14ac:dyDescent="0.2">
      <c r="A14" s="10" t="s">
        <v>17</v>
      </c>
      <c r="D14" t="s">
        <v>20</v>
      </c>
    </row>
    <row r="15" spans="1:5" ht="51" x14ac:dyDescent="0.2">
      <c r="A15" s="1" t="s">
        <v>148</v>
      </c>
      <c r="C15" s="7" t="s">
        <v>146</v>
      </c>
      <c r="D15">
        <v>31490</v>
      </c>
      <c r="E15" s="5" t="s">
        <v>149</v>
      </c>
    </row>
    <row r="16" spans="1:5" ht="17" x14ac:dyDescent="0.2">
      <c r="A16" s="9" t="s">
        <v>153</v>
      </c>
      <c r="D16" s="30">
        <f>(D13/D15)*100</f>
        <v>82.013337567481742</v>
      </c>
    </row>
    <row r="18" spans="1:5" x14ac:dyDescent="0.2">
      <c r="A18" s="1" t="s">
        <v>151</v>
      </c>
      <c r="B18" s="34" t="s">
        <v>171</v>
      </c>
      <c r="C18" s="7" t="s">
        <v>146</v>
      </c>
      <c r="D18">
        <v>841</v>
      </c>
    </row>
    <row r="19" spans="1:5" ht="17" x14ac:dyDescent="0.2">
      <c r="A19" s="10" t="s">
        <v>17</v>
      </c>
      <c r="D19" t="s">
        <v>20</v>
      </c>
    </row>
    <row r="20" spans="1:5" x14ac:dyDescent="0.2">
      <c r="A20" s="1" t="s">
        <v>148</v>
      </c>
      <c r="B20" s="34" t="s">
        <v>171</v>
      </c>
      <c r="D20">
        <v>31490</v>
      </c>
    </row>
    <row r="21" spans="1:5" ht="51" x14ac:dyDescent="0.2">
      <c r="A21" s="9" t="s">
        <v>152</v>
      </c>
      <c r="D21" s="30">
        <f>(D18/D20)*100</f>
        <v>2.6706891076532231</v>
      </c>
      <c r="E21" s="5" t="s">
        <v>149</v>
      </c>
    </row>
    <row r="23" spans="1:5" ht="17" x14ac:dyDescent="0.2">
      <c r="A23" s="9" t="s">
        <v>153</v>
      </c>
      <c r="D23" s="21">
        <f>D16</f>
        <v>82.013337567481742</v>
      </c>
    </row>
    <row r="24" spans="1:5" ht="17" x14ac:dyDescent="0.2">
      <c r="A24" s="10" t="s">
        <v>17</v>
      </c>
      <c r="D24" t="s">
        <v>20</v>
      </c>
    </row>
    <row r="25" spans="1:5" ht="34" x14ac:dyDescent="0.2">
      <c r="A25" s="9" t="s">
        <v>152</v>
      </c>
      <c r="D25" s="30">
        <f>D21</f>
        <v>2.6706891076532231</v>
      </c>
    </row>
    <row r="26" spans="1:5" ht="17" x14ac:dyDescent="0.2">
      <c r="A26" s="9" t="s">
        <v>154</v>
      </c>
      <c r="D26" s="30">
        <f>D23/D25</f>
        <v>30.708680142687278</v>
      </c>
    </row>
    <row r="29" spans="1:5" x14ac:dyDescent="0.2">
      <c r="A29" s="15" t="s">
        <v>155</v>
      </c>
    </row>
    <row r="30" spans="1:5" ht="17" x14ac:dyDescent="0.2">
      <c r="A30" s="15" t="s">
        <v>145</v>
      </c>
    </row>
    <row r="31" spans="1:5" ht="17" x14ac:dyDescent="0.2">
      <c r="A31" s="12" t="s">
        <v>5</v>
      </c>
      <c r="B31" s="12" t="s">
        <v>4</v>
      </c>
      <c r="C31" s="12" t="s">
        <v>46</v>
      </c>
      <c r="D31" s="12" t="s">
        <v>6</v>
      </c>
    </row>
    <row r="32" spans="1:5" ht="34" x14ac:dyDescent="0.2">
      <c r="A32" s="14" t="s">
        <v>156</v>
      </c>
      <c r="B32" s="34" t="s">
        <v>171</v>
      </c>
      <c r="C32" s="7" t="s">
        <v>146</v>
      </c>
      <c r="D32">
        <v>2.4</v>
      </c>
    </row>
    <row r="33" spans="1:5" ht="17" x14ac:dyDescent="0.2">
      <c r="A33" s="10" t="s">
        <v>17</v>
      </c>
      <c r="D33" t="s">
        <v>10</v>
      </c>
    </row>
    <row r="34" spans="1:5" ht="17" x14ac:dyDescent="0.2">
      <c r="A34" s="9" t="s">
        <v>154</v>
      </c>
      <c r="D34" s="30">
        <f>D26</f>
        <v>30.708680142687278</v>
      </c>
    </row>
    <row r="35" spans="1:5" ht="17" x14ac:dyDescent="0.2">
      <c r="A35" s="9" t="s">
        <v>157</v>
      </c>
      <c r="D35" s="29">
        <f>D32*D34</f>
        <v>73.700832342449459</v>
      </c>
    </row>
    <row r="37" spans="1:5" ht="17" x14ac:dyDescent="0.2">
      <c r="A37" s="15" t="s">
        <v>158</v>
      </c>
    </row>
    <row r="38" spans="1:5" ht="17" x14ac:dyDescent="0.2">
      <c r="A38" s="15" t="s">
        <v>145</v>
      </c>
    </row>
    <row r="40" spans="1:5" ht="17" x14ac:dyDescent="0.2">
      <c r="A40" s="12" t="s">
        <v>5</v>
      </c>
      <c r="B40" s="12" t="s">
        <v>4</v>
      </c>
      <c r="C40" s="12" t="s">
        <v>46</v>
      </c>
      <c r="D40" s="12" t="s">
        <v>6</v>
      </c>
    </row>
    <row r="41" spans="1:5" ht="17" x14ac:dyDescent="0.2">
      <c r="A41" s="14" t="s">
        <v>159</v>
      </c>
      <c r="B41" s="34" t="s">
        <v>171</v>
      </c>
      <c r="C41" s="7" t="s">
        <v>146</v>
      </c>
      <c r="D41">
        <v>122.49</v>
      </c>
    </row>
    <row r="42" spans="1:5" ht="17" x14ac:dyDescent="0.2">
      <c r="A42" s="10" t="s">
        <v>17</v>
      </c>
      <c r="D42" t="s">
        <v>10</v>
      </c>
    </row>
    <row r="43" spans="1:5" x14ac:dyDescent="0.2">
      <c r="A43" s="32" t="s">
        <v>160</v>
      </c>
      <c r="D43">
        <v>2.5</v>
      </c>
    </row>
    <row r="44" spans="1:5" ht="17" x14ac:dyDescent="0.2">
      <c r="A44" s="9" t="s">
        <v>162</v>
      </c>
      <c r="D44" s="30">
        <f>(D41*D43)/100</f>
        <v>3.0622499999999997</v>
      </c>
      <c r="E44" t="s">
        <v>161</v>
      </c>
    </row>
    <row r="45" spans="1:5" ht="17" x14ac:dyDescent="0.2">
      <c r="A45" s="10" t="s">
        <v>17</v>
      </c>
      <c r="D45" t="s">
        <v>10</v>
      </c>
    </row>
    <row r="46" spans="1:5" ht="68" x14ac:dyDescent="0.2">
      <c r="A46" s="14" t="s">
        <v>163</v>
      </c>
      <c r="B46" s="34" t="s">
        <v>171</v>
      </c>
      <c r="C46" s="7" t="s">
        <v>146</v>
      </c>
      <c r="D46">
        <v>2.9</v>
      </c>
    </row>
    <row r="47" spans="1:5" ht="17" x14ac:dyDescent="0.2">
      <c r="A47" s="9" t="s">
        <v>164</v>
      </c>
      <c r="D47" s="30">
        <f>D44*D46</f>
        <v>8.8805249999999987</v>
      </c>
    </row>
    <row r="48" spans="1:5" ht="17" x14ac:dyDescent="0.2">
      <c r="A48" s="10" t="s">
        <v>17</v>
      </c>
      <c r="D48" t="s">
        <v>35</v>
      </c>
    </row>
    <row r="49" spans="1:4" ht="17" x14ac:dyDescent="0.2">
      <c r="A49" s="9" t="s">
        <v>165</v>
      </c>
      <c r="D49" s="30">
        <f>D47^2</f>
        <v>78.863724275624975</v>
      </c>
    </row>
    <row r="51" spans="1:4" ht="17" x14ac:dyDescent="0.2">
      <c r="A51" s="15" t="s">
        <v>166</v>
      </c>
    </row>
    <row r="52" spans="1:4" ht="17" x14ac:dyDescent="0.2">
      <c r="A52" s="15" t="s">
        <v>145</v>
      </c>
    </row>
    <row r="54" spans="1:4" ht="17" x14ac:dyDescent="0.2">
      <c r="A54" s="12" t="s">
        <v>5</v>
      </c>
      <c r="B54" s="12" t="s">
        <v>4</v>
      </c>
      <c r="C54" s="12" t="s">
        <v>46</v>
      </c>
      <c r="D54" s="12" t="s">
        <v>6</v>
      </c>
    </row>
    <row r="55" spans="1:4" ht="17" x14ac:dyDescent="0.2">
      <c r="A55" s="9" t="s">
        <v>157</v>
      </c>
      <c r="D55" s="29">
        <f>D35</f>
        <v>73.700832342449459</v>
      </c>
    </row>
    <row r="56" spans="1:4" ht="17" x14ac:dyDescent="0.2">
      <c r="A56" s="10" t="s">
        <v>17</v>
      </c>
      <c r="D56" t="s">
        <v>20</v>
      </c>
    </row>
    <row r="57" spans="1:4" ht="17" x14ac:dyDescent="0.2">
      <c r="A57" s="9" t="s">
        <v>165</v>
      </c>
      <c r="D57" s="30">
        <f>D49</f>
        <v>78.863724275624975</v>
      </c>
    </row>
    <row r="58" spans="1:4" ht="34" x14ac:dyDescent="0.2">
      <c r="A58" s="9" t="s">
        <v>167</v>
      </c>
      <c r="D58" s="21">
        <f>D55/D57</f>
        <v>0.9345340081184671</v>
      </c>
    </row>
    <row r="60" spans="1:4" ht="17" x14ac:dyDescent="0.2">
      <c r="A60" s="15" t="s">
        <v>168</v>
      </c>
    </row>
    <row r="61" spans="1:4" ht="17" x14ac:dyDescent="0.2">
      <c r="A61" s="15" t="s">
        <v>145</v>
      </c>
    </row>
    <row r="62" spans="1:4" ht="17" x14ac:dyDescent="0.2">
      <c r="A62" s="12" t="s">
        <v>5</v>
      </c>
      <c r="B62" s="12" t="s">
        <v>4</v>
      </c>
      <c r="C62" s="12" t="s">
        <v>46</v>
      </c>
      <c r="D62" s="12" t="s">
        <v>6</v>
      </c>
    </row>
    <row r="63" spans="1:4" ht="17" x14ac:dyDescent="0.2">
      <c r="A63" s="14" t="s">
        <v>169</v>
      </c>
      <c r="C63" s="7" t="s">
        <v>146</v>
      </c>
      <c r="D63" s="35">
        <v>48000</v>
      </c>
    </row>
    <row r="64" spans="1:4" ht="17" x14ac:dyDescent="0.2">
      <c r="A64" s="10" t="s">
        <v>17</v>
      </c>
      <c r="D64" t="s">
        <v>60</v>
      </c>
    </row>
    <row r="65" spans="1:4" ht="34" x14ac:dyDescent="0.2">
      <c r="A65" s="9" t="s">
        <v>167</v>
      </c>
      <c r="D65" s="21">
        <f>D58</f>
        <v>0.9345340081184671</v>
      </c>
    </row>
    <row r="66" spans="1:4" ht="17" x14ac:dyDescent="0.2">
      <c r="A66" s="9" t="s">
        <v>170</v>
      </c>
      <c r="D66" s="30">
        <f>D63*D65</f>
        <v>44857.63238968642</v>
      </c>
    </row>
    <row r="73" spans="1:4" ht="85" x14ac:dyDescent="0.2">
      <c r="A73" s="15" t="s">
        <v>54</v>
      </c>
    </row>
    <row r="74" spans="1:4" ht="17" x14ac:dyDescent="0.2">
      <c r="A74" s="15" t="s">
        <v>55</v>
      </c>
    </row>
  </sheetData>
  <hyperlinks>
    <hyperlink ref="B18" r:id="rId1" xr:uid="{F9F776FA-C67C-FF48-A7D9-021A5A0C5F1D}"/>
    <hyperlink ref="B41" r:id="rId2" xr:uid="{75B605C6-7912-A148-BB01-BA62D605EB13}"/>
    <hyperlink ref="B46" r:id="rId3" xr:uid="{78EA7419-74D3-9442-B87F-19892A127305}"/>
    <hyperlink ref="B32" r:id="rId4" xr:uid="{75924A9A-9BF9-C24D-BC65-ED3190742CD3}"/>
    <hyperlink ref="B20" r:id="rId5" xr:uid="{112156CC-B7A9-9E44-8E2B-FB829E8F13C6}"/>
    <hyperlink ref="B12" r:id="rId6" xr:uid="{C630DAF0-23ED-D44C-B891-8375CA018E72}"/>
    <hyperlink ref="B10" r:id="rId7" xr:uid="{2B7178F3-AAE7-0F45-AF02-67D7258AE94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9EC6-4652-3D43-BD5D-7DF6BF2D066B}">
  <dimension ref="A1:D34"/>
  <sheetViews>
    <sheetView zoomScale="140" zoomScaleNormal="140" workbookViewId="0">
      <selection activeCell="A33" sqref="A33:A34"/>
    </sheetView>
  </sheetViews>
  <sheetFormatPr baseColWidth="10" defaultRowHeight="16" x14ac:dyDescent="0.2"/>
  <cols>
    <col min="1" max="1" width="35.1640625" customWidth="1"/>
    <col min="2" max="2" width="23.1640625" customWidth="1"/>
    <col min="3" max="3" width="41.1640625" customWidth="1"/>
    <col min="4" max="4" width="21.33203125" customWidth="1"/>
  </cols>
  <sheetData>
    <row r="1" spans="1:4" ht="68" x14ac:dyDescent="0.2">
      <c r="A1" s="15" t="s">
        <v>127</v>
      </c>
    </row>
    <row r="6" spans="1:4" ht="34" x14ac:dyDescent="0.2">
      <c r="A6" s="15" t="s">
        <v>143</v>
      </c>
    </row>
    <row r="7" spans="1:4" ht="68" x14ac:dyDescent="0.2">
      <c r="A7" s="12" t="s">
        <v>5</v>
      </c>
      <c r="B7" s="12" t="s">
        <v>4</v>
      </c>
      <c r="C7" s="12" t="s">
        <v>46</v>
      </c>
      <c r="D7" s="12" t="s">
        <v>6</v>
      </c>
    </row>
    <row r="8" spans="1:4" ht="221" x14ac:dyDescent="0.2">
      <c r="A8" s="1" t="s">
        <v>128</v>
      </c>
      <c r="B8" s="5" t="s">
        <v>133</v>
      </c>
      <c r="C8" s="7" t="s">
        <v>129</v>
      </c>
      <c r="D8" s="30">
        <v>93900</v>
      </c>
    </row>
    <row r="9" spans="1:4" x14ac:dyDescent="0.2">
      <c r="B9" s="34" t="s">
        <v>130</v>
      </c>
    </row>
    <row r="10" spans="1:4" ht="17" x14ac:dyDescent="0.2">
      <c r="A10" s="10" t="s">
        <v>17</v>
      </c>
      <c r="D10" t="s">
        <v>20</v>
      </c>
    </row>
    <row r="11" spans="1:4" x14ac:dyDescent="0.2">
      <c r="A11" s="1" t="s">
        <v>131</v>
      </c>
      <c r="B11" t="s">
        <v>132</v>
      </c>
      <c r="C11" s="7" t="s">
        <v>129</v>
      </c>
      <c r="D11">
        <v>31442</v>
      </c>
    </row>
    <row r="12" spans="1:4" ht="34" x14ac:dyDescent="0.2">
      <c r="A12" s="9" t="s">
        <v>134</v>
      </c>
      <c r="D12" s="30">
        <f>D8/D11</f>
        <v>2.98645124355957</v>
      </c>
    </row>
    <row r="13" spans="1:4" x14ac:dyDescent="0.2">
      <c r="A13" s="5"/>
    </row>
    <row r="14" spans="1:4" x14ac:dyDescent="0.2">
      <c r="A14" s="5"/>
    </row>
    <row r="15" spans="1:4" ht="34" x14ac:dyDescent="0.2">
      <c r="A15" s="32" t="s">
        <v>135</v>
      </c>
      <c r="B15" s="5" t="s">
        <v>136</v>
      </c>
      <c r="D15">
        <v>2.71</v>
      </c>
    </row>
    <row r="16" spans="1:4" ht="17" x14ac:dyDescent="0.2">
      <c r="A16" s="10" t="s">
        <v>17</v>
      </c>
      <c r="B16" s="5"/>
      <c r="D16" t="s">
        <v>20</v>
      </c>
    </row>
    <row r="17" spans="1:4" ht="34" x14ac:dyDescent="0.2">
      <c r="A17" s="9" t="s">
        <v>134</v>
      </c>
      <c r="B17" s="5"/>
      <c r="D17" s="30">
        <f>D12</f>
        <v>2.98645124355957</v>
      </c>
    </row>
    <row r="18" spans="1:4" ht="34" x14ac:dyDescent="0.2">
      <c r="A18" s="9" t="s">
        <v>137</v>
      </c>
      <c r="D18" s="30">
        <f>D15/D17</f>
        <v>0.90743152289669859</v>
      </c>
    </row>
    <row r="19" spans="1:4" ht="17" x14ac:dyDescent="0.2">
      <c r="A19" s="10" t="s">
        <v>17</v>
      </c>
      <c r="D19" t="s">
        <v>60</v>
      </c>
    </row>
    <row r="20" spans="1:4" ht="51" x14ac:dyDescent="0.2">
      <c r="A20" s="14" t="s">
        <v>138</v>
      </c>
      <c r="B20" s="5" t="s">
        <v>139</v>
      </c>
      <c r="C20" s="7" t="s">
        <v>129</v>
      </c>
      <c r="D20">
        <v>48321</v>
      </c>
    </row>
    <row r="21" spans="1:4" ht="51" x14ac:dyDescent="0.2">
      <c r="A21" s="9" t="s">
        <v>140</v>
      </c>
      <c r="D21" s="30">
        <f>D18*D20</f>
        <v>43847.998617891375</v>
      </c>
    </row>
    <row r="24" spans="1:4" ht="102" x14ac:dyDescent="0.2">
      <c r="A24" s="15" t="s">
        <v>141</v>
      </c>
    </row>
    <row r="26" spans="1:4" ht="102" x14ac:dyDescent="0.2">
      <c r="A26" s="15" t="s">
        <v>142</v>
      </c>
    </row>
    <row r="33" spans="1:1" ht="119" x14ac:dyDescent="0.2">
      <c r="A33" s="15" t="s">
        <v>54</v>
      </c>
    </row>
    <row r="34" spans="1:1" ht="17" x14ac:dyDescent="0.2">
      <c r="A34" s="15" t="s">
        <v>55</v>
      </c>
    </row>
  </sheetData>
  <hyperlinks>
    <hyperlink ref="B9" r:id="rId1" xr:uid="{20DED89D-EC51-BB41-AB61-0762A6C2470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E888-7254-364C-946A-63B325B4EBC6}">
  <dimension ref="A1:E45"/>
  <sheetViews>
    <sheetView topLeftCell="A35" zoomScale="150" workbookViewId="0">
      <selection activeCell="A44" sqref="A44:A45"/>
    </sheetView>
  </sheetViews>
  <sheetFormatPr baseColWidth="10" defaultRowHeight="16" x14ac:dyDescent="0.2"/>
  <cols>
    <col min="1" max="1" width="36.6640625" customWidth="1"/>
    <col min="2" max="2" width="19" customWidth="1"/>
    <col min="3" max="3" width="28.6640625" customWidth="1"/>
    <col min="4" max="4" width="20" customWidth="1"/>
  </cols>
  <sheetData>
    <row r="1" spans="1:4" ht="51" x14ac:dyDescent="0.2">
      <c r="A1" s="27" t="s">
        <v>79</v>
      </c>
    </row>
    <row r="2" spans="1:4" ht="51" x14ac:dyDescent="0.2">
      <c r="A2" s="27" t="s">
        <v>80</v>
      </c>
    </row>
    <row r="3" spans="1:4" ht="136" x14ac:dyDescent="0.2">
      <c r="A3" s="15" t="s">
        <v>81</v>
      </c>
    </row>
    <row r="4" spans="1:4" ht="102" x14ac:dyDescent="0.2">
      <c r="A4" s="27" t="s">
        <v>82</v>
      </c>
    </row>
    <row r="6" spans="1:4" ht="85" x14ac:dyDescent="0.2">
      <c r="A6" s="27" t="s">
        <v>83</v>
      </c>
    </row>
    <row r="7" spans="1:4" ht="85" x14ac:dyDescent="0.2">
      <c r="A7" s="27" t="s">
        <v>104</v>
      </c>
    </row>
    <row r="8" spans="1:4" x14ac:dyDescent="0.2">
      <c r="A8" s="6"/>
    </row>
    <row r="10" spans="1:4" ht="68" x14ac:dyDescent="0.2">
      <c r="A10" s="12" t="s">
        <v>5</v>
      </c>
      <c r="B10" s="12" t="s">
        <v>4</v>
      </c>
      <c r="C10" s="12" t="s">
        <v>46</v>
      </c>
      <c r="D10" s="12" t="s">
        <v>6</v>
      </c>
    </row>
    <row r="11" spans="1:4" x14ac:dyDescent="0.2">
      <c r="A11" s="1" t="s">
        <v>84</v>
      </c>
      <c r="C11" s="7" t="s">
        <v>85</v>
      </c>
      <c r="D11">
        <v>6.75</v>
      </c>
    </row>
    <row r="12" spans="1:4" ht="17" x14ac:dyDescent="0.2">
      <c r="A12" s="10" t="s">
        <v>17</v>
      </c>
      <c r="D12" t="s">
        <v>31</v>
      </c>
    </row>
    <row r="13" spans="1:4" x14ac:dyDescent="0.2">
      <c r="A13" s="1" t="s">
        <v>86</v>
      </c>
      <c r="C13" s="7" t="s">
        <v>85</v>
      </c>
      <c r="D13">
        <v>3.64</v>
      </c>
    </row>
    <row r="14" spans="1:4" ht="17" x14ac:dyDescent="0.2">
      <c r="A14" s="5" t="s">
        <v>22</v>
      </c>
      <c r="D14">
        <f>D11-D13</f>
        <v>3.11</v>
      </c>
    </row>
    <row r="15" spans="1:4" ht="17" x14ac:dyDescent="0.2">
      <c r="A15" s="10" t="s">
        <v>17</v>
      </c>
      <c r="D15" t="s">
        <v>31</v>
      </c>
    </row>
    <row r="16" spans="1:4" x14ac:dyDescent="0.2">
      <c r="A16" s="2" t="s">
        <v>87</v>
      </c>
      <c r="D16">
        <v>1.5</v>
      </c>
    </row>
    <row r="17" spans="1:5" ht="119" x14ac:dyDescent="0.2">
      <c r="A17" s="9" t="s">
        <v>89</v>
      </c>
      <c r="B17" s="5" t="s">
        <v>88</v>
      </c>
      <c r="D17" s="30">
        <f>D14-D16</f>
        <v>1.6099999999999999</v>
      </c>
    </row>
    <row r="19" spans="1:5" x14ac:dyDescent="0.2">
      <c r="A19" s="28" t="s">
        <v>90</v>
      </c>
    </row>
    <row r="20" spans="1:5" ht="136" x14ac:dyDescent="0.2">
      <c r="A20" s="27" t="s">
        <v>91</v>
      </c>
      <c r="B20" s="31" t="s">
        <v>92</v>
      </c>
    </row>
    <row r="21" spans="1:5" ht="34" x14ac:dyDescent="0.2">
      <c r="A21" s="27" t="s">
        <v>93</v>
      </c>
      <c r="B21" s="31"/>
    </row>
    <row r="22" spans="1:5" ht="17" x14ac:dyDescent="0.2">
      <c r="A22" s="27" t="s">
        <v>94</v>
      </c>
      <c r="B22" s="31"/>
    </row>
    <row r="23" spans="1:5" ht="102" x14ac:dyDescent="0.2">
      <c r="A23" s="12" t="s">
        <v>5</v>
      </c>
      <c r="B23" s="12" t="s">
        <v>4</v>
      </c>
      <c r="C23" s="12" t="s">
        <v>46</v>
      </c>
      <c r="D23" s="12" t="s">
        <v>6</v>
      </c>
      <c r="E23" s="25" t="s">
        <v>95</v>
      </c>
    </row>
    <row r="24" spans="1:5" ht="17" x14ac:dyDescent="0.2">
      <c r="A24" s="24" t="s">
        <v>96</v>
      </c>
      <c r="D24">
        <v>0.15</v>
      </c>
    </row>
    <row r="25" spans="1:5" ht="17" x14ac:dyDescent="0.2">
      <c r="A25" s="10" t="s">
        <v>17</v>
      </c>
      <c r="D25" t="s">
        <v>24</v>
      </c>
    </row>
    <row r="26" spans="1:5" ht="17" x14ac:dyDescent="0.2">
      <c r="A26" s="24" t="s">
        <v>96</v>
      </c>
      <c r="D26">
        <v>0.4</v>
      </c>
    </row>
    <row r="27" spans="1:5" ht="17" x14ac:dyDescent="0.2">
      <c r="A27" s="10" t="s">
        <v>17</v>
      </c>
      <c r="D27" t="s">
        <v>24</v>
      </c>
    </row>
    <row r="28" spans="1:5" ht="34" x14ac:dyDescent="0.2">
      <c r="A28" s="24" t="s">
        <v>97</v>
      </c>
      <c r="D28" s="29">
        <v>0</v>
      </c>
    </row>
    <row r="29" spans="1:5" x14ac:dyDescent="0.2">
      <c r="A29" s="3" t="s">
        <v>98</v>
      </c>
      <c r="D29" s="29">
        <f>D24+D26+D28</f>
        <v>0.55000000000000004</v>
      </c>
    </row>
    <row r="30" spans="1:5" ht="17" x14ac:dyDescent="0.2">
      <c r="A30" s="10" t="s">
        <v>17</v>
      </c>
      <c r="D30" t="s">
        <v>20</v>
      </c>
    </row>
    <row r="31" spans="1:5" x14ac:dyDescent="0.2">
      <c r="A31" s="32" t="s">
        <v>99</v>
      </c>
      <c r="D31">
        <v>3</v>
      </c>
    </row>
    <row r="32" spans="1:5" x14ac:dyDescent="0.2">
      <c r="A32" s="3" t="s">
        <v>100</v>
      </c>
      <c r="D32">
        <f>D29/D31</f>
        <v>0.18333333333333335</v>
      </c>
    </row>
    <row r="33" spans="1:4" ht="17" x14ac:dyDescent="0.2">
      <c r="A33" s="10" t="s">
        <v>17</v>
      </c>
      <c r="D33" t="s">
        <v>60</v>
      </c>
    </row>
    <row r="34" spans="1:4" ht="34" x14ac:dyDescent="0.2">
      <c r="A34" s="24" t="s">
        <v>101</v>
      </c>
      <c r="D34">
        <v>0.5</v>
      </c>
    </row>
    <row r="35" spans="1:4" ht="34" x14ac:dyDescent="0.2">
      <c r="A35" s="9" t="s">
        <v>102</v>
      </c>
      <c r="D35">
        <f>D34*D32</f>
        <v>9.1666666666666674E-2</v>
      </c>
    </row>
    <row r="39" spans="1:4" ht="34" x14ac:dyDescent="0.2">
      <c r="A39" s="15" t="s">
        <v>103</v>
      </c>
    </row>
    <row r="44" spans="1:4" ht="119" x14ac:dyDescent="0.2">
      <c r="A44" s="15" t="s">
        <v>54</v>
      </c>
    </row>
    <row r="45" spans="1:4" ht="17" x14ac:dyDescent="0.2">
      <c r="A45" s="15" t="s">
        <v>55</v>
      </c>
    </row>
  </sheetData>
  <hyperlinks>
    <hyperlink ref="B20" r:id="rId1" xr:uid="{57535F7A-AAAA-9040-B6DC-8D468441BC7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31390-693A-9545-B9F7-1689FFBAF200}">
  <dimension ref="A1:E57"/>
  <sheetViews>
    <sheetView zoomScale="125" workbookViewId="0">
      <selection activeCell="B9" sqref="A9:B9"/>
    </sheetView>
  </sheetViews>
  <sheetFormatPr baseColWidth="10" defaultRowHeight="16" x14ac:dyDescent="0.2"/>
  <cols>
    <col min="1" max="1" width="42.1640625" customWidth="1"/>
    <col min="2" max="2" width="31.1640625" customWidth="1"/>
    <col min="3" max="3" width="44.6640625" customWidth="1"/>
    <col min="4" max="4" width="16.83203125" bestFit="1" customWidth="1"/>
  </cols>
  <sheetData>
    <row r="1" spans="1:5" ht="119" x14ac:dyDescent="0.2">
      <c r="A1" s="15" t="s">
        <v>58</v>
      </c>
    </row>
    <row r="6" spans="1:5" x14ac:dyDescent="0.2">
      <c r="A6" s="16" t="s">
        <v>0</v>
      </c>
    </row>
    <row r="8" spans="1:5" ht="17" x14ac:dyDescent="0.2">
      <c r="A8" s="12" t="s">
        <v>5</v>
      </c>
      <c r="B8" s="12" t="s">
        <v>4</v>
      </c>
      <c r="C8" s="12" t="s">
        <v>46</v>
      </c>
      <c r="D8" s="12" t="s">
        <v>6</v>
      </c>
      <c r="E8" s="5"/>
    </row>
    <row r="9" spans="1:5" ht="34" x14ac:dyDescent="0.2">
      <c r="A9" s="14" t="s">
        <v>57</v>
      </c>
      <c r="B9" s="8" t="s">
        <v>174</v>
      </c>
      <c r="C9" s="5"/>
      <c r="D9" s="18">
        <v>122.49</v>
      </c>
      <c r="E9" s="5"/>
    </row>
    <row r="10" spans="1:5" ht="17" x14ac:dyDescent="0.2">
      <c r="A10" s="10" t="s">
        <v>17</v>
      </c>
      <c r="B10" s="5"/>
      <c r="C10" s="5"/>
      <c r="D10" s="5" t="s">
        <v>10</v>
      </c>
      <c r="E10" s="5"/>
    </row>
    <row r="11" spans="1:5" ht="34" x14ac:dyDescent="0.2">
      <c r="A11" s="24" t="s">
        <v>59</v>
      </c>
      <c r="B11" s="5" t="s">
        <v>105</v>
      </c>
      <c r="C11" s="5"/>
      <c r="D11" s="5">
        <v>2.5</v>
      </c>
      <c r="E11" s="5"/>
    </row>
    <row r="12" spans="1:5" x14ac:dyDescent="0.2">
      <c r="A12" s="5"/>
      <c r="B12" s="5"/>
      <c r="C12" s="5"/>
      <c r="D12" s="5">
        <f>D9*D11</f>
        <v>306.22499999999997</v>
      </c>
      <c r="E12" s="5"/>
    </row>
    <row r="13" spans="1:5" ht="17" x14ac:dyDescent="0.2">
      <c r="A13" s="10" t="s">
        <v>17</v>
      </c>
      <c r="B13" s="5"/>
      <c r="C13" s="5"/>
      <c r="D13" s="5" t="s">
        <v>20</v>
      </c>
      <c r="E13" s="5"/>
    </row>
    <row r="14" spans="1:5" ht="17" x14ac:dyDescent="0.2">
      <c r="A14" s="24" t="s">
        <v>59</v>
      </c>
      <c r="B14" s="5"/>
      <c r="C14" s="5"/>
      <c r="D14" s="5">
        <v>100</v>
      </c>
      <c r="E14" s="5"/>
    </row>
    <row r="15" spans="1:5" ht="17" x14ac:dyDescent="0.2">
      <c r="A15" s="9" t="s">
        <v>61</v>
      </c>
      <c r="B15" s="5"/>
      <c r="C15" s="5"/>
      <c r="D15" s="20">
        <f>D12/D14</f>
        <v>3.0622499999999997</v>
      </c>
      <c r="E15" s="17"/>
    </row>
    <row r="16" spans="1:5" ht="17" x14ac:dyDescent="0.2">
      <c r="A16" s="10" t="s">
        <v>17</v>
      </c>
      <c r="B16" s="5"/>
      <c r="C16" s="5"/>
      <c r="D16" s="5" t="s">
        <v>10</v>
      </c>
      <c r="E16" s="5"/>
    </row>
    <row r="17" spans="1:5" ht="17" x14ac:dyDescent="0.2">
      <c r="A17" s="14" t="s">
        <v>62</v>
      </c>
      <c r="B17" s="5"/>
      <c r="C17" s="5"/>
      <c r="D17" s="5">
        <v>1.61</v>
      </c>
      <c r="E17" s="5"/>
    </row>
    <row r="18" spans="1:5" ht="34" x14ac:dyDescent="0.2">
      <c r="A18" s="9" t="s">
        <v>106</v>
      </c>
      <c r="B18" s="5" t="s">
        <v>107</v>
      </c>
      <c r="C18" s="5"/>
      <c r="D18" s="19">
        <f>D15*D17</f>
        <v>4.9302225000000002</v>
      </c>
      <c r="E18" s="5"/>
    </row>
    <row r="19" spans="1:5" x14ac:dyDescent="0.2">
      <c r="A19" s="5"/>
      <c r="B19" s="5"/>
      <c r="C19" s="5"/>
      <c r="D19" s="5"/>
      <c r="E19" s="5"/>
    </row>
    <row r="20" spans="1:5" ht="17" x14ac:dyDescent="0.2">
      <c r="A20" s="24" t="s">
        <v>64</v>
      </c>
      <c r="B20" s="5" t="s">
        <v>65</v>
      </c>
      <c r="C20" s="5"/>
      <c r="D20" s="18">
        <v>100</v>
      </c>
      <c r="E20" s="5"/>
    </row>
    <row r="21" spans="1:5" ht="17" x14ac:dyDescent="0.2">
      <c r="A21" s="10" t="s">
        <v>17</v>
      </c>
      <c r="B21" s="5"/>
      <c r="C21" s="5"/>
      <c r="D21" s="5" t="s">
        <v>20</v>
      </c>
      <c r="E21" s="5"/>
    </row>
    <row r="22" spans="1:5" ht="34" x14ac:dyDescent="0.2">
      <c r="A22" s="9" t="s">
        <v>66</v>
      </c>
      <c r="B22" s="5"/>
      <c r="C22" s="5"/>
      <c r="D22" s="20">
        <f>D20/D18</f>
        <v>20.283060247280929</v>
      </c>
      <c r="E22" s="5"/>
    </row>
    <row r="23" spans="1:5" x14ac:dyDescent="0.2">
      <c r="A23" s="5"/>
      <c r="B23" s="5"/>
      <c r="C23" s="5"/>
      <c r="D23" s="5"/>
      <c r="E23" s="5"/>
    </row>
    <row r="25" spans="1:5" ht="34" x14ac:dyDescent="0.2">
      <c r="A25" s="9" t="s">
        <v>63</v>
      </c>
      <c r="D25" s="21">
        <f>D18</f>
        <v>4.9302225000000002</v>
      </c>
    </row>
    <row r="26" spans="1:5" ht="17" x14ac:dyDescent="0.2">
      <c r="A26" s="10" t="s">
        <v>17</v>
      </c>
      <c r="D26" t="s">
        <v>35</v>
      </c>
    </row>
    <row r="27" spans="1:5" ht="51" x14ac:dyDescent="0.2">
      <c r="A27" s="3" t="s">
        <v>67</v>
      </c>
      <c r="B27" s="5" t="s">
        <v>108</v>
      </c>
      <c r="D27" s="22">
        <f>D25^2</f>
        <v>24.307093899506253</v>
      </c>
    </row>
    <row r="29" spans="1:5" ht="34" x14ac:dyDescent="0.2">
      <c r="A29" s="9" t="s">
        <v>66</v>
      </c>
      <c r="D29" s="23">
        <f>D22</f>
        <v>20.283060247280929</v>
      </c>
    </row>
    <row r="30" spans="1:5" ht="17" x14ac:dyDescent="0.2">
      <c r="A30" s="10" t="s">
        <v>17</v>
      </c>
      <c r="D30" t="s">
        <v>20</v>
      </c>
    </row>
    <row r="31" spans="1:5" x14ac:dyDescent="0.2">
      <c r="A31" s="3" t="s">
        <v>67</v>
      </c>
      <c r="D31" s="22">
        <f>D27</f>
        <v>24.307093899506253</v>
      </c>
    </row>
    <row r="32" spans="1:5" ht="34" x14ac:dyDescent="0.2">
      <c r="A32" s="9" t="s">
        <v>68</v>
      </c>
      <c r="D32">
        <f>D29/D31</f>
        <v>0.83445023626180737</v>
      </c>
    </row>
    <row r="35" spans="1:5" x14ac:dyDescent="0.2">
      <c r="A35" s="1" t="s">
        <v>69</v>
      </c>
      <c r="B35" s="7" t="s">
        <v>70</v>
      </c>
      <c r="D35">
        <v>46.052999999999997</v>
      </c>
    </row>
    <row r="36" spans="1:5" ht="17" x14ac:dyDescent="0.2">
      <c r="A36" s="10" t="s">
        <v>17</v>
      </c>
      <c r="D36" t="s">
        <v>10</v>
      </c>
    </row>
    <row r="37" spans="1:5" ht="34" x14ac:dyDescent="0.2">
      <c r="A37" s="9" t="s">
        <v>68</v>
      </c>
      <c r="D37">
        <f>D32</f>
        <v>0.83445023626180737</v>
      </c>
    </row>
    <row r="38" spans="1:5" x14ac:dyDescent="0.2">
      <c r="A38" s="3" t="s">
        <v>71</v>
      </c>
      <c r="D38">
        <f>D37*D35</f>
        <v>38.428936730565013</v>
      </c>
    </row>
    <row r="42" spans="1:5" ht="34" x14ac:dyDescent="0.2">
      <c r="A42" s="15" t="s">
        <v>72</v>
      </c>
    </row>
    <row r="45" spans="1:5" ht="85" x14ac:dyDescent="0.2">
      <c r="A45" s="12" t="s">
        <v>5</v>
      </c>
      <c r="B45" s="12" t="s">
        <v>4</v>
      </c>
      <c r="C45" s="12" t="s">
        <v>46</v>
      </c>
      <c r="D45" s="12" t="s">
        <v>6</v>
      </c>
      <c r="E45" s="25" t="s">
        <v>78</v>
      </c>
    </row>
    <row r="48" spans="1:5" ht="34" x14ac:dyDescent="0.2">
      <c r="A48" s="9" t="s">
        <v>76</v>
      </c>
      <c r="B48" s="5"/>
      <c r="D48">
        <f>D51-D49</f>
        <v>1.51</v>
      </c>
      <c r="E48">
        <v>46.580608179999999</v>
      </c>
    </row>
    <row r="49" spans="1:5" ht="17" x14ac:dyDescent="0.2">
      <c r="A49" s="24" t="s">
        <v>12</v>
      </c>
      <c r="B49" s="5" t="s">
        <v>73</v>
      </c>
      <c r="D49">
        <v>0.1</v>
      </c>
    </row>
    <row r="50" spans="1:5" ht="17" x14ac:dyDescent="0.2">
      <c r="A50" s="10" t="s">
        <v>17</v>
      </c>
      <c r="B50" s="5"/>
      <c r="D50" t="s">
        <v>31</v>
      </c>
    </row>
    <row r="51" spans="1:5" ht="68" x14ac:dyDescent="0.2">
      <c r="A51" s="14" t="s">
        <v>74</v>
      </c>
      <c r="B51" s="8" t="s">
        <v>75</v>
      </c>
      <c r="D51">
        <f>D17</f>
        <v>1.61</v>
      </c>
      <c r="E51">
        <v>38.428936729999997</v>
      </c>
    </row>
    <row r="52" spans="1:5" ht="17" x14ac:dyDescent="0.2">
      <c r="A52" s="10" t="s">
        <v>17</v>
      </c>
      <c r="B52" s="5"/>
      <c r="D52" t="s">
        <v>24</v>
      </c>
    </row>
    <row r="53" spans="1:5" ht="17" x14ac:dyDescent="0.2">
      <c r="A53" s="24" t="s">
        <v>12</v>
      </c>
      <c r="B53" s="5" t="s">
        <v>73</v>
      </c>
      <c r="D53">
        <v>0.1</v>
      </c>
    </row>
    <row r="54" spans="1:5" ht="34" x14ac:dyDescent="0.2">
      <c r="A54" s="9" t="s">
        <v>77</v>
      </c>
      <c r="B54" s="5"/>
      <c r="D54">
        <f>D51+D53</f>
        <v>1.7100000000000002</v>
      </c>
      <c r="E54">
        <v>32.073596799999997</v>
      </c>
    </row>
    <row r="56" spans="1:5" ht="102" x14ac:dyDescent="0.2">
      <c r="A56" s="15" t="s">
        <v>54</v>
      </c>
    </row>
    <row r="57" spans="1:5" ht="17" x14ac:dyDescent="0.2">
      <c r="A57" s="15" t="s">
        <v>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2C8C7-5F34-AB42-B63B-ECEE3FEDE2B8}">
  <dimension ref="A1:F70"/>
  <sheetViews>
    <sheetView topLeftCell="A66" zoomScale="140" workbookViewId="0">
      <selection activeCell="A70" sqref="A69:A70"/>
    </sheetView>
  </sheetViews>
  <sheetFormatPr baseColWidth="10" defaultRowHeight="16" x14ac:dyDescent="0.2"/>
  <cols>
    <col min="1" max="1" width="70.5" style="5" customWidth="1"/>
    <col min="2" max="2" width="33.6640625" style="5" customWidth="1"/>
    <col min="3" max="3" width="43" style="5" customWidth="1"/>
    <col min="4" max="4" width="31.83203125" style="5" customWidth="1"/>
    <col min="5" max="5" width="11.6640625" style="5" bestFit="1" customWidth="1"/>
    <col min="6" max="16384" width="10.83203125" style="5"/>
  </cols>
  <sheetData>
    <row r="1" spans="1:6" ht="157" customHeight="1" x14ac:dyDescent="0.2">
      <c r="A1" s="15" t="s">
        <v>48</v>
      </c>
    </row>
    <row r="3" spans="1:6" ht="17" x14ac:dyDescent="0.2">
      <c r="A3" s="15" t="s">
        <v>0</v>
      </c>
    </row>
    <row r="5" spans="1:6" ht="17" x14ac:dyDescent="0.2">
      <c r="A5" s="12" t="s">
        <v>5</v>
      </c>
      <c r="B5" s="12" t="s">
        <v>4</v>
      </c>
      <c r="C5" s="12" t="s">
        <v>46</v>
      </c>
      <c r="D5" s="12" t="s">
        <v>6</v>
      </c>
      <c r="E5" s="5" t="s">
        <v>51</v>
      </c>
    </row>
    <row r="6" spans="1:6" ht="51" x14ac:dyDescent="0.2">
      <c r="A6" s="14" t="s">
        <v>7</v>
      </c>
      <c r="B6" s="5" t="s">
        <v>8</v>
      </c>
      <c r="C6" s="8" t="s">
        <v>53</v>
      </c>
      <c r="D6" s="5">
        <v>1.8</v>
      </c>
      <c r="F6" s="5" t="s">
        <v>49</v>
      </c>
    </row>
    <row r="7" spans="1:6" ht="17" x14ac:dyDescent="0.2">
      <c r="A7" s="10" t="s">
        <v>17</v>
      </c>
      <c r="D7" s="6" t="s">
        <v>10</v>
      </c>
    </row>
    <row r="8" spans="1:6" ht="51" x14ac:dyDescent="0.2">
      <c r="A8" s="14" t="s">
        <v>12</v>
      </c>
      <c r="B8" s="5" t="s">
        <v>14</v>
      </c>
      <c r="C8" s="8" t="s">
        <v>52</v>
      </c>
      <c r="D8" s="5">
        <v>2.8</v>
      </c>
      <c r="F8" s="5" t="s">
        <v>49</v>
      </c>
    </row>
    <row r="9" spans="1:6" ht="17" x14ac:dyDescent="0.2">
      <c r="A9" s="9" t="s">
        <v>15</v>
      </c>
      <c r="D9" s="5">
        <f>D6*D8</f>
        <v>5.04</v>
      </c>
    </row>
    <row r="10" spans="1:6" ht="17" x14ac:dyDescent="0.2">
      <c r="A10" s="10" t="s">
        <v>17</v>
      </c>
      <c r="D10" s="6" t="s">
        <v>10</v>
      </c>
    </row>
    <row r="11" spans="1:6" ht="17" x14ac:dyDescent="0.2">
      <c r="A11" s="11" t="s">
        <v>16</v>
      </c>
      <c r="D11" s="5">
        <v>2.71</v>
      </c>
    </row>
    <row r="12" spans="1:6" ht="34" x14ac:dyDescent="0.2">
      <c r="A12" s="9" t="s">
        <v>18</v>
      </c>
      <c r="D12" s="5">
        <f>D11*D9</f>
        <v>13.6584</v>
      </c>
    </row>
    <row r="13" spans="1:6" ht="17" x14ac:dyDescent="0.2">
      <c r="A13" s="10" t="s">
        <v>17</v>
      </c>
      <c r="D13" s="5" t="s">
        <v>20</v>
      </c>
    </row>
    <row r="14" spans="1:6" ht="34" x14ac:dyDescent="0.2">
      <c r="A14" s="11" t="s">
        <v>19</v>
      </c>
      <c r="B14" s="5" t="s">
        <v>47</v>
      </c>
      <c r="D14" s="5">
        <v>180</v>
      </c>
    </row>
    <row r="15" spans="1:6" ht="17" x14ac:dyDescent="0.2">
      <c r="A15" s="10" t="s">
        <v>17</v>
      </c>
      <c r="D15" s="5" t="s">
        <v>10</v>
      </c>
    </row>
    <row r="16" spans="1:6" x14ac:dyDescent="0.2">
      <c r="D16" s="5">
        <v>100</v>
      </c>
    </row>
    <row r="17" spans="1:6" ht="17" x14ac:dyDescent="0.2">
      <c r="A17" s="5" t="s">
        <v>22</v>
      </c>
      <c r="D17" s="5">
        <f>D12/D14</f>
        <v>7.5880000000000003E-2</v>
      </c>
    </row>
    <row r="18" spans="1:6" ht="51" x14ac:dyDescent="0.2">
      <c r="A18" s="9" t="s">
        <v>21</v>
      </c>
      <c r="D18" s="5">
        <f>D17*D16</f>
        <v>7.5880000000000001</v>
      </c>
    </row>
    <row r="19" spans="1:6" ht="17" x14ac:dyDescent="0.2">
      <c r="D19" s="5" t="s">
        <v>20</v>
      </c>
    </row>
    <row r="20" spans="1:6" ht="34" x14ac:dyDescent="0.2">
      <c r="A20" s="5" t="s">
        <v>23</v>
      </c>
      <c r="D20" s="5">
        <v>100</v>
      </c>
    </row>
    <row r="21" spans="1:6" ht="17" x14ac:dyDescent="0.2">
      <c r="D21" s="5" t="s">
        <v>24</v>
      </c>
    </row>
    <row r="22" spans="1:6" x14ac:dyDescent="0.2">
      <c r="D22" s="5">
        <v>1</v>
      </c>
    </row>
    <row r="23" spans="1:6" ht="34" x14ac:dyDescent="0.2">
      <c r="A23" s="9" t="s">
        <v>25</v>
      </c>
      <c r="D23" s="5">
        <f>(D18/D20)+D22</f>
        <v>1.0758799999999999</v>
      </c>
    </row>
    <row r="25" spans="1:6" ht="17" x14ac:dyDescent="0.2">
      <c r="A25" s="15" t="s">
        <v>26</v>
      </c>
    </row>
    <row r="29" spans="1:6" ht="17" x14ac:dyDescent="0.2">
      <c r="A29" s="15" t="s">
        <v>27</v>
      </c>
    </row>
    <row r="30" spans="1:6" ht="17" x14ac:dyDescent="0.2">
      <c r="A30" s="12" t="s">
        <v>5</v>
      </c>
      <c r="B30" s="12" t="s">
        <v>4</v>
      </c>
      <c r="C30" s="12" t="s">
        <v>9</v>
      </c>
      <c r="D30" s="12" t="s">
        <v>6</v>
      </c>
    </row>
    <row r="31" spans="1:6" ht="34" x14ac:dyDescent="0.2">
      <c r="A31" s="14" t="s">
        <v>30</v>
      </c>
      <c r="D31" s="5">
        <v>2026</v>
      </c>
      <c r="E31" s="13"/>
      <c r="F31" s="5" t="s">
        <v>50</v>
      </c>
    </row>
    <row r="32" spans="1:6" ht="17" x14ac:dyDescent="0.2">
      <c r="A32" s="10" t="s">
        <v>17</v>
      </c>
      <c r="D32" s="5" t="s">
        <v>31</v>
      </c>
    </row>
    <row r="33" spans="1:4" ht="17" x14ac:dyDescent="0.2">
      <c r="A33" s="11" t="s">
        <v>28</v>
      </c>
      <c r="B33" s="5" t="s">
        <v>29</v>
      </c>
      <c r="D33" s="5">
        <v>1932</v>
      </c>
    </row>
    <row r="34" spans="1:4" x14ac:dyDescent="0.2">
      <c r="D34" s="5">
        <f>D31-D33</f>
        <v>94</v>
      </c>
    </row>
    <row r="35" spans="1:4" ht="17" x14ac:dyDescent="0.2">
      <c r="A35" s="10" t="s">
        <v>17</v>
      </c>
      <c r="D35" s="5" t="s">
        <v>24</v>
      </c>
    </row>
    <row r="36" spans="1:4" x14ac:dyDescent="0.2">
      <c r="D36" s="5">
        <v>1</v>
      </c>
    </row>
    <row r="37" spans="1:4" ht="17" x14ac:dyDescent="0.2">
      <c r="A37" s="9" t="s">
        <v>32</v>
      </c>
      <c r="D37" s="5">
        <f>D34+D36</f>
        <v>95</v>
      </c>
    </row>
    <row r="38" spans="1:4" ht="17" x14ac:dyDescent="0.2">
      <c r="A38" s="10" t="s">
        <v>17</v>
      </c>
      <c r="D38" s="5" t="s">
        <v>24</v>
      </c>
    </row>
    <row r="39" spans="1:4" ht="17" x14ac:dyDescent="0.2">
      <c r="A39" s="11" t="s">
        <v>33</v>
      </c>
      <c r="D39" s="5">
        <v>1</v>
      </c>
    </row>
    <row r="40" spans="1:4" ht="17" x14ac:dyDescent="0.2">
      <c r="A40" s="9" t="s">
        <v>34</v>
      </c>
      <c r="D40" s="5">
        <f>D37+D39</f>
        <v>96</v>
      </c>
    </row>
    <row r="43" spans="1:4" ht="17" x14ac:dyDescent="0.2">
      <c r="A43" s="9" t="s">
        <v>25</v>
      </c>
      <c r="D43" s="5">
        <f>D23</f>
        <v>1.0758799999999999</v>
      </c>
    </row>
    <row r="44" spans="1:4" ht="17" x14ac:dyDescent="0.2">
      <c r="A44" s="10" t="s">
        <v>17</v>
      </c>
      <c r="D44" s="5" t="s">
        <v>35</v>
      </c>
    </row>
    <row r="45" spans="1:4" ht="17" x14ac:dyDescent="0.2">
      <c r="A45" s="9" t="s">
        <v>34</v>
      </c>
      <c r="D45" s="5">
        <f>D40</f>
        <v>96</v>
      </c>
    </row>
    <row r="46" spans="1:4" ht="17" x14ac:dyDescent="0.2">
      <c r="A46" s="9" t="s">
        <v>36</v>
      </c>
      <c r="D46" s="5">
        <f>D43^D45</f>
        <v>1120.2838954476051</v>
      </c>
    </row>
    <row r="48" spans="1:4" ht="17" x14ac:dyDescent="0.2">
      <c r="A48" s="11" t="s">
        <v>37</v>
      </c>
      <c r="D48" s="5">
        <v>44</v>
      </c>
    </row>
    <row r="49" spans="1:5" ht="17" x14ac:dyDescent="0.2">
      <c r="A49" s="10" t="s">
        <v>17</v>
      </c>
      <c r="D49" s="5" t="s">
        <v>10</v>
      </c>
    </row>
    <row r="50" spans="1:5" ht="17" x14ac:dyDescent="0.2">
      <c r="A50" s="9" t="s">
        <v>36</v>
      </c>
      <c r="D50" s="5">
        <f>D46</f>
        <v>1120.2838954476051</v>
      </c>
    </row>
    <row r="51" spans="1:5" ht="17" x14ac:dyDescent="0.2">
      <c r="A51" s="9" t="s">
        <v>38</v>
      </c>
      <c r="D51" s="5">
        <f>D50*D48</f>
        <v>49292.491399694627</v>
      </c>
    </row>
    <row r="54" spans="1:5" ht="17" x14ac:dyDescent="0.2">
      <c r="A54" s="15" t="s">
        <v>44</v>
      </c>
    </row>
    <row r="56" spans="1:5" ht="17" x14ac:dyDescent="0.2">
      <c r="A56" s="12" t="s">
        <v>5</v>
      </c>
      <c r="B56" s="12" t="s">
        <v>4</v>
      </c>
      <c r="C56" s="12" t="s">
        <v>9</v>
      </c>
      <c r="D56" s="12" t="s">
        <v>6</v>
      </c>
      <c r="E56" s="26" t="s">
        <v>42</v>
      </c>
    </row>
    <row r="57" spans="1:5" ht="17" x14ac:dyDescent="0.2">
      <c r="A57" s="9" t="s">
        <v>41</v>
      </c>
      <c r="D57" s="5">
        <f>D60+D58</f>
        <v>2.8000000000000003</v>
      </c>
      <c r="E57" s="5">
        <v>49292.491399999999</v>
      </c>
    </row>
    <row r="58" spans="1:5" ht="17" x14ac:dyDescent="0.2">
      <c r="A58" s="11" t="s">
        <v>41</v>
      </c>
      <c r="D58" s="5">
        <v>0.1</v>
      </c>
    </row>
    <row r="59" spans="1:5" ht="17" x14ac:dyDescent="0.2">
      <c r="A59" s="10" t="s">
        <v>17</v>
      </c>
      <c r="D59" s="5" t="s">
        <v>24</v>
      </c>
    </row>
    <row r="60" spans="1:5" ht="17" x14ac:dyDescent="0.2">
      <c r="A60" s="11" t="s">
        <v>12</v>
      </c>
      <c r="B60" s="5" t="s">
        <v>39</v>
      </c>
      <c r="D60" s="5">
        <v>2.7</v>
      </c>
      <c r="E60" s="5">
        <v>38692.870289999999</v>
      </c>
    </row>
    <row r="61" spans="1:5" ht="17" x14ac:dyDescent="0.2">
      <c r="A61" s="10" t="s">
        <v>17</v>
      </c>
      <c r="D61" s="5" t="s">
        <v>31</v>
      </c>
    </row>
    <row r="62" spans="1:5" ht="17" x14ac:dyDescent="0.2">
      <c r="A62" s="11" t="s">
        <v>40</v>
      </c>
      <c r="D62" s="5">
        <v>0.1</v>
      </c>
    </row>
    <row r="63" spans="1:5" ht="17" x14ac:dyDescent="0.2">
      <c r="A63" s="9" t="s">
        <v>40</v>
      </c>
      <c r="D63" s="5">
        <f>D60-D62</f>
        <v>2.6</v>
      </c>
      <c r="E63" s="5">
        <v>30353.95335</v>
      </c>
    </row>
    <row r="65" spans="1:2" ht="68" x14ac:dyDescent="0.2">
      <c r="A65" s="15" t="s">
        <v>43</v>
      </c>
      <c r="B65" s="15" t="s">
        <v>45</v>
      </c>
    </row>
    <row r="69" spans="1:2" ht="68" x14ac:dyDescent="0.2">
      <c r="A69" s="15" t="s">
        <v>54</v>
      </c>
    </row>
    <row r="70" spans="1:2" ht="17" x14ac:dyDescent="0.2">
      <c r="A70" s="15"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מקרא</vt:lpstr>
      <vt:lpstr>Bank value calculation</vt:lpstr>
      <vt:lpstr>Market value of tradable shares</vt:lpstr>
      <vt:lpstr>Machete</vt:lpstr>
      <vt:lpstr>The base model</vt:lpstr>
      <vt:lpstr>Marketable financial assets rel</vt:lpstr>
      <vt:lpstr>Calculating inflation</vt:lpstr>
      <vt:lpstr>Quick risk return</vt:lpstr>
      <vt:lpstr>Long-term investor return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אופק בירן</dc:creator>
  <cp:lastModifiedBy>אופק בירן</cp:lastModifiedBy>
  <dcterms:created xsi:type="dcterms:W3CDTF">2026-03-28T10:49:09Z</dcterms:created>
  <dcterms:modified xsi:type="dcterms:W3CDTF">2026-04-28T10:42:02Z</dcterms:modified>
</cp:coreProperties>
</file>